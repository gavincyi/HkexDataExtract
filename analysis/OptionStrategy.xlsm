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75" windowWidth="14295" windowHeight="4335" activeTab="1"/>
  </bookViews>
  <sheets>
    <sheet name="Data" sheetId="1" r:id="rId1"/>
    <sheet name="OptionMatrix" sheetId="2" r:id="rId2"/>
    <sheet name="Simulation" sheetId="4" r:id="rId3"/>
    <sheet name="Expiration" sheetId="3" r:id="rId4"/>
  </sheets>
  <functionGroups/>
  <calcPr calcId="124519"/>
</workbook>
</file>

<file path=xl/calcChain.xml><?xml version="1.0" encoding="utf-8"?>
<calcChain xmlns="http://schemas.openxmlformats.org/spreadsheetml/2006/main">
  <c r="Q49" i="1"/>
  <c r="S49"/>
  <c r="T49"/>
  <c r="U49"/>
  <c r="V49"/>
  <c r="X49" l="1"/>
  <c r="Y49"/>
  <c r="Z49"/>
  <c r="AA49"/>
  <c r="Q50"/>
  <c r="S50"/>
  <c r="T50"/>
  <c r="U50"/>
  <c r="V50"/>
  <c r="X50"/>
  <c r="Y50"/>
  <c r="Z50"/>
  <c r="AA50"/>
  <c r="E49"/>
  <c r="F49"/>
  <c r="G49"/>
  <c r="H49"/>
  <c r="J49"/>
  <c r="K49"/>
  <c r="L49"/>
  <c r="M49"/>
  <c r="N49"/>
  <c r="O49"/>
  <c r="E50"/>
  <c r="F50"/>
  <c r="G50"/>
  <c r="H50"/>
  <c r="J50"/>
  <c r="K50"/>
  <c r="L50"/>
  <c r="M50"/>
  <c r="N50"/>
  <c r="O50"/>
  <c r="A48"/>
  <c r="B48" s="1"/>
  <c r="A49"/>
  <c r="B49" s="1"/>
  <c r="A50"/>
  <c r="B50" s="1"/>
  <c r="A47" l="1"/>
  <c r="B47" s="1"/>
  <c r="K44"/>
  <c r="K45"/>
  <c r="A46"/>
  <c r="B46" s="1"/>
  <c r="A45"/>
  <c r="B45" s="1"/>
  <c r="V45"/>
  <c r="L45"/>
  <c r="L44"/>
  <c r="O45" l="1"/>
  <c r="Q45" s="1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A21"/>
  <c r="B21" s="1"/>
  <c r="A22"/>
  <c r="B22" s="1"/>
  <c r="A23"/>
  <c r="B23" s="1"/>
  <c r="A24"/>
  <c r="B24" s="1"/>
  <c r="A25"/>
  <c r="B25" s="1"/>
  <c r="A26"/>
  <c r="B26" s="1"/>
  <c r="A27"/>
  <c r="B27" s="1"/>
  <c r="A28"/>
  <c r="B28" s="1"/>
  <c r="A29"/>
  <c r="B29" s="1"/>
  <c r="A30"/>
  <c r="B30" s="1"/>
  <c r="A31"/>
  <c r="B31" s="1"/>
  <c r="A32"/>
  <c r="B32" s="1"/>
  <c r="A33"/>
  <c r="B33" s="1"/>
  <c r="A34"/>
  <c r="B34" s="1"/>
  <c r="A35"/>
  <c r="B35" s="1"/>
  <c r="A36"/>
  <c r="B36" s="1"/>
  <c r="A37"/>
  <c r="B37" s="1"/>
  <c r="A38"/>
  <c r="B38" s="1"/>
  <c r="A39"/>
  <c r="B39" s="1"/>
  <c r="A40"/>
  <c r="B40" s="1"/>
  <c r="A41"/>
  <c r="B41" s="1"/>
  <c r="A42"/>
  <c r="B42" s="1"/>
  <c r="A43"/>
  <c r="B43" s="1"/>
  <c r="A44"/>
  <c r="B44" s="1"/>
  <c r="V24"/>
  <c r="V28"/>
  <c r="V32"/>
  <c r="V36"/>
  <c r="V40"/>
  <c r="V44"/>
  <c r="V23"/>
  <c r="V27"/>
  <c r="V31"/>
  <c r="V35"/>
  <c r="V39"/>
  <c r="V43"/>
  <c r="V22"/>
  <c r="V26"/>
  <c r="V30"/>
  <c r="V34"/>
  <c r="V38"/>
  <c r="V42"/>
  <c r="V21"/>
  <c r="V25"/>
  <c r="V29"/>
  <c r="V33"/>
  <c r="V37"/>
  <c r="V41"/>
  <c r="Q43" l="1"/>
  <c r="Q41"/>
  <c r="Q39"/>
  <c r="Q37"/>
  <c r="Q35"/>
  <c r="Q33"/>
  <c r="Q31"/>
  <c r="Q29"/>
  <c r="Q27"/>
  <c r="Q25"/>
  <c r="Q23"/>
  <c r="Q21"/>
  <c r="Q44"/>
  <c r="Q42"/>
  <c r="Q40"/>
  <c r="Q38"/>
  <c r="Q36"/>
  <c r="Q34"/>
  <c r="Q32"/>
  <c r="Q30"/>
  <c r="Q28"/>
  <c r="Q26"/>
  <c r="Q24"/>
  <c r="Q22"/>
  <c r="B2" i="2"/>
  <c r="B3"/>
  <c r="B4"/>
  <c r="L5" l="1"/>
  <c r="B5"/>
  <c r="K5"/>
  <c r="M5"/>
  <c r="L6" l="1"/>
  <c r="B6"/>
  <c r="O3" i="1"/>
  <c r="O4"/>
  <c r="O5"/>
  <c r="O6"/>
  <c r="O7"/>
  <c r="O8"/>
  <c r="O9"/>
  <c r="O10"/>
  <c r="O11"/>
  <c r="O12"/>
  <c r="O13"/>
  <c r="O14"/>
  <c r="O15"/>
  <c r="O16"/>
  <c r="O17"/>
  <c r="O18"/>
  <c r="O19"/>
  <c r="O20"/>
  <c r="O2"/>
  <c r="K6" i="2"/>
  <c r="J5"/>
  <c r="I5" s="1"/>
  <c r="N5"/>
  <c r="O5" s="1"/>
  <c r="M6"/>
  <c r="F3" i="4" l="1"/>
  <c r="E3"/>
  <c r="L4" i="2"/>
  <c r="L7"/>
  <c r="L3"/>
  <c r="L8"/>
  <c r="A3" i="1"/>
  <c r="B3" s="1"/>
  <c r="A4"/>
  <c r="B4" s="1"/>
  <c r="A5"/>
  <c r="B5" s="1"/>
  <c r="A6"/>
  <c r="B6" s="1"/>
  <c r="A7"/>
  <c r="B7" s="1"/>
  <c r="A8"/>
  <c r="B8" s="1"/>
  <c r="A9"/>
  <c r="B9" s="1"/>
  <c r="A10"/>
  <c r="B10" s="1"/>
  <c r="A11"/>
  <c r="B11" s="1"/>
  <c r="A12"/>
  <c r="B12" s="1"/>
  <c r="A13"/>
  <c r="B13" s="1"/>
  <c r="A14"/>
  <c r="B14" s="1"/>
  <c r="A15"/>
  <c r="B15" s="1"/>
  <c r="A16"/>
  <c r="B16" s="1"/>
  <c r="A17"/>
  <c r="B17" s="1"/>
  <c r="A18"/>
  <c r="B18" s="1"/>
  <c r="A19"/>
  <c r="B19" s="1"/>
  <c r="A20"/>
  <c r="B20" s="1"/>
  <c r="A2"/>
  <c r="B2" s="1"/>
  <c r="V7"/>
  <c r="V11"/>
  <c r="V15"/>
  <c r="V19"/>
  <c r="V6"/>
  <c r="V10"/>
  <c r="V14"/>
  <c r="V18"/>
  <c r="V5"/>
  <c r="V9"/>
  <c r="V13"/>
  <c r="V17"/>
  <c r="V4"/>
  <c r="V8"/>
  <c r="V12"/>
  <c r="V16"/>
  <c r="V20"/>
  <c r="V3"/>
  <c r="M4" i="2"/>
  <c r="N4"/>
  <c r="O4" s="1"/>
  <c r="K7"/>
  <c r="J7" s="1"/>
  <c r="I7" s="1"/>
  <c r="K8"/>
  <c r="J8"/>
  <c r="I8" s="1"/>
  <c r="N6"/>
  <c r="O6" s="1"/>
  <c r="M3"/>
  <c r="V2" i="1"/>
  <c r="G5" i="2"/>
  <c r="F5"/>
  <c r="H5"/>
  <c r="R5"/>
  <c r="S5"/>
  <c r="P5"/>
  <c r="Q5"/>
  <c r="N3"/>
  <c r="O3" s="1"/>
  <c r="S4"/>
  <c r="R4"/>
  <c r="Q4"/>
  <c r="P4"/>
  <c r="E7"/>
  <c r="F7"/>
  <c r="G7"/>
  <c r="H7"/>
  <c r="L2" l="1"/>
  <c r="L9"/>
  <c r="Q15" i="1"/>
  <c r="Q3"/>
  <c r="Q4"/>
  <c r="Q19"/>
  <c r="Q7"/>
  <c r="Q16"/>
  <c r="Q8"/>
  <c r="Q17"/>
  <c r="Q13"/>
  <c r="Q9"/>
  <c r="Q5"/>
  <c r="Q11"/>
  <c r="Q20"/>
  <c r="Q12"/>
  <c r="Q2"/>
  <c r="Q18"/>
  <c r="Q14"/>
  <c r="Q10"/>
  <c r="Q6"/>
  <c r="E5" i="2"/>
  <c r="J6"/>
  <c r="K9"/>
  <c r="M2"/>
  <c r="E8"/>
  <c r="F8"/>
  <c r="G8"/>
  <c r="H8"/>
  <c r="Q6"/>
  <c r="S6"/>
  <c r="P6"/>
  <c r="R6"/>
  <c r="R3"/>
  <c r="S3"/>
  <c r="Q3"/>
  <c r="P3"/>
  <c r="N2"/>
  <c r="O2" s="1"/>
  <c r="J9"/>
  <c r="I9" s="1"/>
  <c r="I6"/>
  <c r="I18"/>
  <c r="F6" i="4" l="1"/>
  <c r="F4"/>
  <c r="F7"/>
  <c r="F9" s="1"/>
  <c r="F5"/>
  <c r="C3"/>
  <c r="B7" i="2"/>
  <c r="B8"/>
  <c r="G6"/>
  <c r="F6"/>
  <c r="H6"/>
  <c r="H9"/>
  <c r="E9"/>
  <c r="F9"/>
  <c r="G9"/>
  <c r="Q2"/>
  <c r="P2"/>
  <c r="S2"/>
  <c r="R2"/>
  <c r="F11" i="4" l="1"/>
  <c r="F12"/>
  <c r="F10"/>
  <c r="F13"/>
  <c r="F15"/>
  <c r="F16"/>
  <c r="E4"/>
  <c r="E6"/>
  <c r="E5"/>
  <c r="C6"/>
  <c r="C7"/>
  <c r="C9" s="1"/>
  <c r="C4"/>
  <c r="C5"/>
  <c r="E6" i="2"/>
  <c r="C15" i="4" l="1"/>
  <c r="C16"/>
  <c r="E7"/>
  <c r="E9" s="1"/>
  <c r="E10" s="1"/>
  <c r="C11"/>
  <c r="C13"/>
  <c r="C12"/>
  <c r="C10"/>
  <c r="D5"/>
  <c r="B3"/>
  <c r="D6"/>
  <c r="D3"/>
  <c r="B5"/>
  <c r="B6"/>
  <c r="D7"/>
  <c r="D9" s="1"/>
  <c r="B4"/>
  <c r="D4"/>
  <c r="B7"/>
  <c r="B9" s="1"/>
  <c r="B15" l="1"/>
  <c r="B16"/>
  <c r="E15"/>
  <c r="E16"/>
  <c r="E13"/>
  <c r="E11"/>
  <c r="E12"/>
  <c r="D10"/>
  <c r="B12"/>
  <c r="D11"/>
  <c r="B10"/>
  <c r="B11"/>
  <c r="D13"/>
  <c r="D12"/>
  <c r="B13"/>
</calcChain>
</file>

<file path=xl/sharedStrings.xml><?xml version="1.0" encoding="utf-8"?>
<sst xmlns="http://schemas.openxmlformats.org/spreadsheetml/2006/main" count="126" uniqueCount="71">
  <si>
    <t>date</t>
  </si>
  <si>
    <t>SEP-15</t>
  </si>
  <si>
    <t>contract_month</t>
  </si>
  <si>
    <t>open</t>
  </si>
  <si>
    <t>close</t>
  </si>
  <si>
    <t>volume</t>
  </si>
  <si>
    <t>open_interest</t>
  </si>
  <si>
    <t>strike</t>
  </si>
  <si>
    <t>Est. IV</t>
  </si>
  <si>
    <t>IV</t>
  </si>
  <si>
    <t>30% Call</t>
  </si>
  <si>
    <t>30% Put</t>
  </si>
  <si>
    <t>Date</t>
  </si>
  <si>
    <t>Future</t>
  </si>
  <si>
    <t>DateTime</t>
  </si>
  <si>
    <t>month</t>
  </si>
  <si>
    <t>OCT-15</t>
  </si>
  <si>
    <t>NOV-15</t>
  </si>
  <si>
    <t>DEC-15</t>
  </si>
  <si>
    <t>expiry_date</t>
  </si>
  <si>
    <t>Contract Month</t>
  </si>
  <si>
    <t>Delta</t>
  </si>
  <si>
    <t>Gamma</t>
  </si>
  <si>
    <t>Vega</t>
  </si>
  <si>
    <t>Theta</t>
  </si>
  <si>
    <t>TTM</t>
  </si>
  <si>
    <t>Straddle</t>
  </si>
  <si>
    <t>Mid-Point</t>
  </si>
  <si>
    <t>Mean IV</t>
  </si>
  <si>
    <t>Min IV</t>
  </si>
  <si>
    <t>strike_down</t>
  </si>
  <si>
    <t>close_down</t>
  </si>
  <si>
    <t>strike_up</t>
  </si>
  <si>
    <t>close_up</t>
  </si>
  <si>
    <t>call</t>
  </si>
  <si>
    <t>put</t>
  </si>
  <si>
    <t>Call Spread</t>
  </si>
  <si>
    <t>Price</t>
  </si>
  <si>
    <t>ATM1</t>
  </si>
  <si>
    <t>ATM2</t>
  </si>
  <si>
    <t>CallOut1</t>
  </si>
  <si>
    <t>CallOut2</t>
  </si>
  <si>
    <t>PutOut2</t>
  </si>
  <si>
    <t>PutOut1</t>
  </si>
  <si>
    <t>Put Spread</t>
  </si>
  <si>
    <t>Flat after half mat</t>
  </si>
  <si>
    <t>Right trend with straddle points after half mat</t>
  </si>
  <si>
    <t>Right trend with half straddle points after half mat</t>
  </si>
  <si>
    <t>Right trend with half straddle points after half mat, 5% iv drop</t>
  </si>
  <si>
    <t>CallPrice</t>
  </si>
  <si>
    <t>key</t>
  </si>
  <si>
    <t>value</t>
  </si>
  <si>
    <t>CallIV</t>
  </si>
  <si>
    <t>CallDelta</t>
  </si>
  <si>
    <t>CallGamma</t>
  </si>
  <si>
    <t>CallVega</t>
  </si>
  <si>
    <t>CallTheta</t>
  </si>
  <si>
    <t>PutPrice</t>
  </si>
  <si>
    <t>PutIV</t>
  </si>
  <si>
    <t>PutDelta</t>
  </si>
  <si>
    <t>PutGamma</t>
  </si>
  <si>
    <t>PutVega</t>
  </si>
  <si>
    <t>PutTheta</t>
  </si>
  <si>
    <t>Right trend with half straddle points after half mat, 5% iv surge</t>
  </si>
  <si>
    <t>CallSpread2</t>
  </si>
  <si>
    <t>IronCondor</t>
  </si>
  <si>
    <t>ATM3</t>
  </si>
  <si>
    <t>ATM0</t>
  </si>
  <si>
    <t>Reverse trend with half straddle after half mat</t>
  </si>
  <si>
    <t>Reverse trend with half straddle after half mat, 5% iv surge</t>
  </si>
  <si>
    <t>PutSpread2</t>
  </si>
</sst>
</file>

<file path=xl/styles.xml><?xml version="1.0" encoding="utf-8"?>
<styleSheet xmlns="http://schemas.openxmlformats.org/spreadsheetml/2006/main">
  <numFmts count="2">
    <numFmt numFmtId="164" formatCode="#,##0.0000"/>
    <numFmt numFmtId="165" formatCode="#,##0.00000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49" fontId="0" fillId="0" borderId="0" xfId="0" applyNumberFormat="1"/>
    <xf numFmtId="14" fontId="0" fillId="0" borderId="0" xfId="0" applyNumberFormat="1"/>
    <xf numFmtId="0" fontId="0" fillId="0" borderId="0" xfId="0" applyNumberFormat="1"/>
    <xf numFmtId="9" fontId="0" fillId="0" borderId="0" xfId="0" applyNumberFormat="1"/>
    <xf numFmtId="1" fontId="0" fillId="0" borderId="0" xfId="0" applyNumberFormat="1"/>
    <xf numFmtId="3" fontId="0" fillId="0" borderId="0" xfId="0" applyNumberFormat="1"/>
    <xf numFmtId="0" fontId="0" fillId="2" borderId="2" xfId="0" applyFill="1" applyBorder="1"/>
    <xf numFmtId="14" fontId="0" fillId="2" borderId="2" xfId="0" applyNumberFormat="1" applyFill="1" applyBorder="1"/>
    <xf numFmtId="1" fontId="0" fillId="2" borderId="2" xfId="0" applyNumberFormat="1" applyFill="1" applyBorder="1"/>
    <xf numFmtId="9" fontId="0" fillId="2" borderId="3" xfId="0" applyNumberFormat="1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9" fontId="0" fillId="2" borderId="2" xfId="0" applyNumberFormat="1" applyFill="1" applyBorder="1"/>
    <xf numFmtId="0" fontId="1" fillId="2" borderId="1" xfId="0" applyFont="1" applyFill="1" applyBorder="1"/>
    <xf numFmtId="4" fontId="0" fillId="0" borderId="0" xfId="0" applyNumberFormat="1"/>
    <xf numFmtId="164" fontId="0" fillId="0" borderId="0" xfId="0" applyNumberFormat="1"/>
    <xf numFmtId="0" fontId="0" fillId="0" borderId="7" xfId="0" applyBorder="1"/>
    <xf numFmtId="0" fontId="0" fillId="0" borderId="0" xfId="0" applyBorder="1"/>
    <xf numFmtId="9" fontId="0" fillId="0" borderId="0" xfId="0" applyNumberFormat="1" applyBorder="1"/>
    <xf numFmtId="4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/>
    <xf numFmtId="4" fontId="0" fillId="0" borderId="2" xfId="0" applyNumberFormat="1" applyBorder="1"/>
    <xf numFmtId="4" fontId="0" fillId="0" borderId="7" xfId="0" applyNumberFormat="1" applyBorder="1"/>
    <xf numFmtId="0" fontId="0" fillId="0" borderId="2" xfId="0" applyBorder="1"/>
    <xf numFmtId="4" fontId="0" fillId="0" borderId="8" xfId="0" applyNumberFormat="1" applyBorder="1"/>
    <xf numFmtId="1" fontId="0" fillId="0" borderId="9" xfId="0" applyNumberFormat="1" applyBorder="1"/>
    <xf numFmtId="0" fontId="0" fillId="0" borderId="9" xfId="0" applyBorder="1"/>
    <xf numFmtId="4" fontId="0" fillId="0" borderId="9" xfId="0" applyNumberFormat="1" applyBorder="1"/>
    <xf numFmtId="9" fontId="0" fillId="0" borderId="9" xfId="0" applyNumberFormat="1" applyBorder="1"/>
    <xf numFmtId="0" fontId="0" fillId="0" borderId="3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12" xfId="0" applyFont="1" applyBorder="1"/>
    <xf numFmtId="0" fontId="1" fillId="0" borderId="11" xfId="0" applyFont="1" applyBorder="1"/>
    <xf numFmtId="164" fontId="0" fillId="0" borderId="11" xfId="0" applyNumberFormat="1" applyBorder="1"/>
    <xf numFmtId="164" fontId="0" fillId="0" borderId="9" xfId="0" applyNumberFormat="1" applyBorder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50"/>
  <sheetViews>
    <sheetView topLeftCell="A34" workbookViewId="0">
      <selection activeCell="O47" sqref="O47"/>
    </sheetView>
  </sheetViews>
  <sheetFormatPr defaultRowHeight="15"/>
  <cols>
    <col min="1" max="1" width="11" customWidth="1"/>
    <col min="2" max="2" width="9.7109375" bestFit="1" customWidth="1"/>
    <col min="4" max="4" width="9.140625" style="3"/>
  </cols>
  <sheetData>
    <row r="1" spans="1:27">
      <c r="C1" t="s">
        <v>0</v>
      </c>
      <c r="D1" s="3" t="s">
        <v>2</v>
      </c>
      <c r="E1" t="s">
        <v>3</v>
      </c>
      <c r="F1" t="s">
        <v>4</v>
      </c>
      <c r="G1" t="s">
        <v>5</v>
      </c>
      <c r="H1" t="s">
        <v>6</v>
      </c>
      <c r="J1" t="s">
        <v>0</v>
      </c>
      <c r="K1" t="s">
        <v>30</v>
      </c>
      <c r="L1" t="s">
        <v>31</v>
      </c>
      <c r="M1" t="s">
        <v>32</v>
      </c>
      <c r="N1" t="s">
        <v>33</v>
      </c>
      <c r="O1" t="s">
        <v>27</v>
      </c>
      <c r="Q1" t="s">
        <v>8</v>
      </c>
      <c r="S1" t="s">
        <v>10</v>
      </c>
      <c r="T1" t="s">
        <v>7</v>
      </c>
      <c r="U1" t="s">
        <v>4</v>
      </c>
      <c r="V1" t="s">
        <v>9</v>
      </c>
      <c r="X1" t="s">
        <v>11</v>
      </c>
      <c r="Y1" t="s">
        <v>7</v>
      </c>
      <c r="Z1" t="s">
        <v>4</v>
      </c>
      <c r="AA1" t="s">
        <v>9</v>
      </c>
    </row>
    <row r="2" spans="1:27">
      <c r="A2" s="4">
        <f>DATE(LEFT(C2, 4), MID(C2, 5, 2), RIGHT(C2, 2))</f>
        <v>42193</v>
      </c>
      <c r="B2" s="5">
        <f>VLOOKUP(D2, Expiration!$A$1:$B$25, 2, FALSE)-A2</f>
        <v>83</v>
      </c>
      <c r="C2" s="1">
        <v>20150708</v>
      </c>
      <c r="D2" s="2" t="s">
        <v>1</v>
      </c>
      <c r="E2" s="1">
        <v>24330</v>
      </c>
      <c r="F2" s="1">
        <v>23037</v>
      </c>
      <c r="G2" s="1">
        <v>1621</v>
      </c>
      <c r="H2" s="1">
        <v>6890</v>
      </c>
      <c r="J2">
        <v>20150708</v>
      </c>
      <c r="K2">
        <v>23000</v>
      </c>
      <c r="L2">
        <v>2439</v>
      </c>
      <c r="M2">
        <v>23200</v>
      </c>
      <c r="N2">
        <v>2420</v>
      </c>
      <c r="O2" s="7">
        <f t="shared" ref="O2:O46" si="0">((M2-F2)*N2+(F2-K2)*L2)/200</f>
        <v>2423.5149999999999</v>
      </c>
      <c r="Q2" s="6">
        <f t="shared" ref="Q2:Q46" si="1">O2/0.8/F2/SQRT(B2/365)</f>
        <v>0.27576375798466296</v>
      </c>
      <c r="R2" s="6"/>
      <c r="S2">
        <v>20150708</v>
      </c>
      <c r="T2">
        <v>25400</v>
      </c>
      <c r="U2">
        <v>429</v>
      </c>
      <c r="V2" s="6">
        <f>qlBlackFormulaImpliedStdDev("Call", T2, F2, U2, 1, 0, 0.3)/SQRT(B2/365)</f>
        <v>0.27773889754211722</v>
      </c>
      <c r="X2">
        <v>20150708</v>
      </c>
      <c r="Y2">
        <v>20600</v>
      </c>
      <c r="Z2">
        <v>398</v>
      </c>
      <c r="AA2" s="6">
        <v>0.30380494543346209</v>
      </c>
    </row>
    <row r="3" spans="1:27">
      <c r="A3" s="4">
        <f t="shared" ref="A3:A20" si="2">DATE(LEFT(C3, 4), MID(C3, 5, 2), RIGHT(C3, 2))</f>
        <v>42194</v>
      </c>
      <c r="B3" s="5">
        <f>VLOOKUP(D3, Expiration!$A$1:$B$25, 2, FALSE)-A3</f>
        <v>82</v>
      </c>
      <c r="C3" s="1">
        <v>20150709</v>
      </c>
      <c r="D3" s="2" t="s">
        <v>1</v>
      </c>
      <c r="E3" s="1">
        <v>23195</v>
      </c>
      <c r="F3" s="1">
        <v>24308</v>
      </c>
      <c r="G3" s="1">
        <v>1491</v>
      </c>
      <c r="H3" s="1">
        <v>7126</v>
      </c>
      <c r="J3">
        <v>20150709</v>
      </c>
      <c r="K3">
        <v>24200</v>
      </c>
      <c r="L3">
        <v>2373</v>
      </c>
      <c r="M3">
        <v>24400</v>
      </c>
      <c r="N3">
        <v>2366</v>
      </c>
      <c r="O3" s="7">
        <f t="shared" si="0"/>
        <v>2369.7800000000002</v>
      </c>
      <c r="Q3" s="6">
        <f t="shared" si="1"/>
        <v>0.25710369680182477</v>
      </c>
      <c r="R3" s="6"/>
      <c r="S3">
        <v>20150709</v>
      </c>
      <c r="T3">
        <v>26600</v>
      </c>
      <c r="U3">
        <v>361</v>
      </c>
      <c r="V3" s="6">
        <f>qlBlackFormulaImpliedStdDev("Call", T3, F3, U3, 1, 0, 0.3)/SQRT(B3/365)</f>
        <v>0.2424886760899049</v>
      </c>
      <c r="X3">
        <v>20150709</v>
      </c>
      <c r="Y3">
        <v>22000</v>
      </c>
      <c r="Z3">
        <v>395</v>
      </c>
      <c r="AA3" s="6">
        <v>0.27821489688713419</v>
      </c>
    </row>
    <row r="4" spans="1:27">
      <c r="A4" s="4">
        <f t="shared" si="2"/>
        <v>42195</v>
      </c>
      <c r="B4" s="5">
        <f>VLOOKUP(D4, Expiration!$A$1:$B$25, 2, FALSE)-A4</f>
        <v>81</v>
      </c>
      <c r="C4" s="1">
        <v>20150710</v>
      </c>
      <c r="D4" s="2" t="s">
        <v>1</v>
      </c>
      <c r="E4" s="1">
        <v>24266</v>
      </c>
      <c r="F4" s="1">
        <v>24758</v>
      </c>
      <c r="G4" s="1">
        <v>814</v>
      </c>
      <c r="H4" s="1">
        <v>6785</v>
      </c>
      <c r="J4">
        <v>20150710</v>
      </c>
      <c r="K4">
        <v>24600</v>
      </c>
      <c r="L4">
        <v>2303</v>
      </c>
      <c r="M4">
        <v>24800</v>
      </c>
      <c r="N4">
        <v>2302</v>
      </c>
      <c r="O4" s="7">
        <f t="shared" si="0"/>
        <v>2302.79</v>
      </c>
      <c r="Q4" s="6">
        <f t="shared" si="1"/>
        <v>0.24680429432801412</v>
      </c>
      <c r="R4" s="6"/>
      <c r="S4">
        <v>20150710</v>
      </c>
      <c r="T4">
        <v>27000</v>
      </c>
      <c r="U4">
        <v>365</v>
      </c>
      <c r="V4" s="6">
        <f>qlBlackFormulaImpliedStdDev("Call", T4, F4, U4, 1, 0, 0.3)/SQRT(B4/365)</f>
        <v>0.23803188699212047</v>
      </c>
      <c r="X4">
        <v>20150710</v>
      </c>
      <c r="Y4">
        <v>22600</v>
      </c>
      <c r="Z4">
        <v>397</v>
      </c>
      <c r="AA4" s="6">
        <v>0.26409675484997558</v>
      </c>
    </row>
    <row r="5" spans="1:27">
      <c r="A5" s="4">
        <f t="shared" si="2"/>
        <v>42198</v>
      </c>
      <c r="B5" s="5">
        <f>VLOOKUP(D5, Expiration!$A$1:$B$25, 2, FALSE)-A5</f>
        <v>78</v>
      </c>
      <c r="C5" s="1">
        <v>20150713</v>
      </c>
      <c r="D5" s="2" t="s">
        <v>1</v>
      </c>
      <c r="E5" s="1">
        <v>24661</v>
      </c>
      <c r="F5" s="1">
        <v>25035</v>
      </c>
      <c r="G5" s="1">
        <v>305</v>
      </c>
      <c r="H5" s="1">
        <v>6716</v>
      </c>
      <c r="J5">
        <v>20150713</v>
      </c>
      <c r="K5">
        <v>25000</v>
      </c>
      <c r="L5">
        <v>1960</v>
      </c>
      <c r="M5">
        <v>25200</v>
      </c>
      <c r="N5">
        <v>1976</v>
      </c>
      <c r="O5" s="7">
        <f t="shared" si="0"/>
        <v>1973.2</v>
      </c>
      <c r="Q5" s="6">
        <f t="shared" si="1"/>
        <v>0.21312414543451871</v>
      </c>
      <c r="R5" s="6"/>
      <c r="S5">
        <v>20150713</v>
      </c>
      <c r="T5">
        <v>26800</v>
      </c>
      <c r="U5">
        <v>361</v>
      </c>
      <c r="V5" s="6">
        <f>qlBlackFormulaImpliedStdDev("Call", T5, F5, U5, 1, 0, 0.3)/SQRT(B5/365)</f>
        <v>0.21081440024744849</v>
      </c>
      <c r="X5">
        <v>20150713</v>
      </c>
      <c r="Y5">
        <v>23200</v>
      </c>
      <c r="Z5">
        <v>375</v>
      </c>
      <c r="AA5" s="6">
        <v>0.23548865507364933</v>
      </c>
    </row>
    <row r="6" spans="1:27">
      <c r="A6" s="4">
        <f t="shared" si="2"/>
        <v>42199</v>
      </c>
      <c r="B6" s="5">
        <f>VLOOKUP(D6, Expiration!$A$1:$B$25, 2, FALSE)-A6</f>
        <v>77</v>
      </c>
      <c r="C6" s="1">
        <v>20150714</v>
      </c>
      <c r="D6" s="2" t="s">
        <v>1</v>
      </c>
      <c r="E6" s="1">
        <v>24900</v>
      </c>
      <c r="F6" s="1">
        <v>24875</v>
      </c>
      <c r="G6" s="1">
        <v>194</v>
      </c>
      <c r="H6" s="1">
        <v>6752</v>
      </c>
      <c r="J6">
        <v>20150714</v>
      </c>
      <c r="K6">
        <v>24800</v>
      </c>
      <c r="L6">
        <v>1845</v>
      </c>
      <c r="M6">
        <v>25000</v>
      </c>
      <c r="N6">
        <v>1856</v>
      </c>
      <c r="O6" s="7">
        <f t="shared" si="0"/>
        <v>1851.875</v>
      </c>
      <c r="Q6" s="6">
        <f t="shared" si="1"/>
        <v>0.20260943340673454</v>
      </c>
      <c r="R6" s="6"/>
      <c r="S6">
        <v>20150714</v>
      </c>
      <c r="T6">
        <v>26600</v>
      </c>
      <c r="U6">
        <v>324</v>
      </c>
      <c r="V6" s="6">
        <f>qlBlackFormulaImpliedStdDev("Call", T6, F6, U6, 1, 0, 0.3)/SQRT(B6/365)</f>
        <v>0.20092495268821695</v>
      </c>
      <c r="X6">
        <v>20150714</v>
      </c>
      <c r="Y6">
        <v>23200</v>
      </c>
      <c r="Z6">
        <v>363</v>
      </c>
      <c r="AA6" s="6">
        <v>0.22300623509813025</v>
      </c>
    </row>
    <row r="7" spans="1:27">
      <c r="A7" s="4">
        <f t="shared" si="2"/>
        <v>42200</v>
      </c>
      <c r="B7" s="5">
        <f>VLOOKUP(D7, Expiration!$A$1:$B$25, 2, FALSE)-A7</f>
        <v>76</v>
      </c>
      <c r="C7" s="1">
        <v>20150715</v>
      </c>
      <c r="D7" s="2" t="s">
        <v>1</v>
      </c>
      <c r="E7" s="1">
        <v>24929</v>
      </c>
      <c r="F7" s="1">
        <v>24892</v>
      </c>
      <c r="G7" s="1">
        <v>186</v>
      </c>
      <c r="H7" s="1">
        <v>6759</v>
      </c>
      <c r="J7">
        <v>20150715</v>
      </c>
      <c r="K7">
        <v>24800</v>
      </c>
      <c r="L7">
        <v>1805</v>
      </c>
      <c r="M7">
        <v>25000</v>
      </c>
      <c r="N7">
        <v>1798</v>
      </c>
      <c r="O7" s="7">
        <f t="shared" si="0"/>
        <v>1801.22</v>
      </c>
      <c r="Q7" s="6">
        <f t="shared" si="1"/>
        <v>0.19822417423031913</v>
      </c>
      <c r="R7" s="6"/>
      <c r="S7">
        <v>20150715</v>
      </c>
      <c r="T7">
        <v>26600</v>
      </c>
      <c r="U7">
        <v>298</v>
      </c>
      <c r="V7" s="6">
        <f>qlBlackFormulaImpliedStdDev("Call", T7, F7, U7, 1, 0, 0.3)/SQRT(B7/365)</f>
        <v>0.19377903816120862</v>
      </c>
      <c r="X7">
        <v>20150715</v>
      </c>
      <c r="Y7">
        <v>23200</v>
      </c>
      <c r="Z7">
        <v>326</v>
      </c>
      <c r="AA7" s="6">
        <v>0.21477944498218557</v>
      </c>
    </row>
    <row r="8" spans="1:27">
      <c r="A8" s="4">
        <f t="shared" si="2"/>
        <v>42201</v>
      </c>
      <c r="B8" s="5">
        <f>VLOOKUP(D8, Expiration!$A$1:$B$25, 2, FALSE)-A8</f>
        <v>75</v>
      </c>
      <c r="C8" s="1">
        <v>20150716</v>
      </c>
      <c r="D8" s="2" t="s">
        <v>1</v>
      </c>
      <c r="E8" s="1">
        <v>24806</v>
      </c>
      <c r="F8" s="1">
        <v>24937</v>
      </c>
      <c r="G8" s="1">
        <v>284</v>
      </c>
      <c r="H8" s="1">
        <v>6820</v>
      </c>
      <c r="J8">
        <v>20150716</v>
      </c>
      <c r="K8">
        <v>24800</v>
      </c>
      <c r="L8">
        <v>1714</v>
      </c>
      <c r="M8">
        <v>25000</v>
      </c>
      <c r="N8">
        <v>1720</v>
      </c>
      <c r="O8" s="7">
        <f t="shared" si="0"/>
        <v>1715.89</v>
      </c>
      <c r="Q8" s="6">
        <f t="shared" si="1"/>
        <v>0.18974531060812475</v>
      </c>
      <c r="R8" s="6"/>
      <c r="S8">
        <v>20150716</v>
      </c>
      <c r="T8">
        <v>26600</v>
      </c>
      <c r="U8">
        <v>275</v>
      </c>
      <c r="V8" s="6">
        <f>qlBlackFormulaImpliedStdDev("Call", T8, F8, U8, 1, 0, 0.3)/SQRT(B8/365)</f>
        <v>0.18541131456391405</v>
      </c>
      <c r="X8">
        <v>20150716</v>
      </c>
      <c r="Y8">
        <v>23400</v>
      </c>
      <c r="Z8">
        <v>326</v>
      </c>
      <c r="AA8" s="6">
        <v>0.20413438578082141</v>
      </c>
    </row>
    <row r="9" spans="1:27">
      <c r="A9" s="4">
        <f t="shared" si="2"/>
        <v>42202</v>
      </c>
      <c r="B9" s="5">
        <f>VLOOKUP(D9, Expiration!$A$1:$B$25, 2, FALSE)-A9</f>
        <v>74</v>
      </c>
      <c r="C9" s="1">
        <v>20150717</v>
      </c>
      <c r="D9" s="2" t="s">
        <v>1</v>
      </c>
      <c r="E9" s="1">
        <v>25045</v>
      </c>
      <c r="F9" s="1">
        <v>25291</v>
      </c>
      <c r="G9" s="1">
        <v>301</v>
      </c>
      <c r="H9" s="1">
        <v>6818</v>
      </c>
      <c r="J9">
        <v>20150717</v>
      </c>
      <c r="K9">
        <v>25200</v>
      </c>
      <c r="L9">
        <v>1701</v>
      </c>
      <c r="M9">
        <v>25400</v>
      </c>
      <c r="N9">
        <v>1702</v>
      </c>
      <c r="O9" s="7">
        <f t="shared" si="0"/>
        <v>1701.5450000000001</v>
      </c>
      <c r="Q9" s="6">
        <f t="shared" si="1"/>
        <v>0.18677468944280745</v>
      </c>
      <c r="R9" s="6"/>
      <c r="S9">
        <v>20150717</v>
      </c>
      <c r="T9">
        <v>26800</v>
      </c>
      <c r="U9">
        <v>317</v>
      </c>
      <c r="V9" s="6">
        <f>qlBlackFormulaImpliedStdDev("Call", T9, F9, U9, 1, 0, 0.3)/SQRT(B9/365)</f>
        <v>0.18637311785832855</v>
      </c>
      <c r="X9">
        <v>20150717</v>
      </c>
      <c r="Y9">
        <v>23600</v>
      </c>
      <c r="Z9">
        <v>285</v>
      </c>
      <c r="AA9" s="6">
        <v>0.20173419266442044</v>
      </c>
    </row>
    <row r="10" spans="1:27">
      <c r="A10" s="4">
        <f t="shared" si="2"/>
        <v>42205</v>
      </c>
      <c r="B10" s="5">
        <f>VLOOKUP(D10, Expiration!$A$1:$B$25, 2, FALSE)-A10</f>
        <v>71</v>
      </c>
      <c r="C10" s="1">
        <v>20150720</v>
      </c>
      <c r="D10" s="2" t="s">
        <v>1</v>
      </c>
      <c r="E10" s="1">
        <v>25300</v>
      </c>
      <c r="F10" s="1">
        <v>25259</v>
      </c>
      <c r="G10" s="1">
        <v>365</v>
      </c>
      <c r="H10" s="1">
        <v>6815</v>
      </c>
      <c r="J10">
        <v>20150720</v>
      </c>
      <c r="K10">
        <v>25200</v>
      </c>
      <c r="L10">
        <v>1543</v>
      </c>
      <c r="M10">
        <v>25400</v>
      </c>
      <c r="N10">
        <v>1548</v>
      </c>
      <c r="O10" s="7">
        <f t="shared" si="0"/>
        <v>1546.5250000000001</v>
      </c>
      <c r="Q10" s="6">
        <f t="shared" si="1"/>
        <v>0.17352740126109165</v>
      </c>
      <c r="R10" s="6"/>
      <c r="S10">
        <v>20150720</v>
      </c>
      <c r="T10">
        <v>26800</v>
      </c>
      <c r="U10">
        <v>242</v>
      </c>
      <c r="V10" s="6">
        <f>qlBlackFormulaImpliedStdDev("Call", T10, F10, U10, 1, 0, 0.3)/SQRT(B10/365)</f>
        <v>0.17100378298877775</v>
      </c>
      <c r="X10">
        <v>20150720</v>
      </c>
      <c r="Y10">
        <v>23800</v>
      </c>
      <c r="Z10">
        <v>270</v>
      </c>
      <c r="AA10" s="6">
        <v>0.18444112966059792</v>
      </c>
    </row>
    <row r="11" spans="1:27">
      <c r="A11" s="4">
        <f t="shared" si="2"/>
        <v>42206</v>
      </c>
      <c r="B11" s="5">
        <f>VLOOKUP(D11, Expiration!$A$1:$B$25, 2, FALSE)-A11</f>
        <v>70</v>
      </c>
      <c r="C11" s="1">
        <v>20150721</v>
      </c>
      <c r="D11" s="2" t="s">
        <v>1</v>
      </c>
      <c r="E11" s="1">
        <v>25245</v>
      </c>
      <c r="F11" s="1">
        <v>25378</v>
      </c>
      <c r="G11" s="1">
        <v>329</v>
      </c>
      <c r="H11" s="1">
        <v>6735</v>
      </c>
      <c r="J11">
        <v>20150721</v>
      </c>
      <c r="K11">
        <v>25200</v>
      </c>
      <c r="L11">
        <v>1462</v>
      </c>
      <c r="M11">
        <v>25400</v>
      </c>
      <c r="N11">
        <v>1455</v>
      </c>
      <c r="O11" s="7">
        <f t="shared" si="0"/>
        <v>1461.23</v>
      </c>
      <c r="Q11" s="6">
        <f t="shared" si="1"/>
        <v>0.16434958514439887</v>
      </c>
      <c r="R11" s="6"/>
      <c r="S11">
        <v>20150721</v>
      </c>
      <c r="T11">
        <v>26800</v>
      </c>
      <c r="U11">
        <v>242</v>
      </c>
      <c r="V11" s="6">
        <f>qlBlackFormulaImpliedStdDev("Call", T11, F11, U11, 1, 0, 0.3)/SQRT(B11/365)</f>
        <v>0.16407460266016041</v>
      </c>
      <c r="X11">
        <v>20150721</v>
      </c>
      <c r="Y11">
        <v>24000</v>
      </c>
      <c r="Z11">
        <v>261</v>
      </c>
      <c r="AA11" s="6">
        <v>0.17610875303223628</v>
      </c>
    </row>
    <row r="12" spans="1:27">
      <c r="A12" s="4">
        <f t="shared" si="2"/>
        <v>42207</v>
      </c>
      <c r="B12" s="5">
        <f>VLOOKUP(D12, Expiration!$A$1:$B$25, 2, FALSE)-A12</f>
        <v>69</v>
      </c>
      <c r="C12" s="1">
        <v>20150722</v>
      </c>
      <c r="D12" s="2" t="s">
        <v>1</v>
      </c>
      <c r="E12" s="1">
        <v>25202</v>
      </c>
      <c r="F12" s="1">
        <v>25084</v>
      </c>
      <c r="G12" s="1">
        <v>368</v>
      </c>
      <c r="H12" s="1">
        <v>6958</v>
      </c>
      <c r="J12">
        <v>20150722</v>
      </c>
      <c r="K12">
        <v>25000</v>
      </c>
      <c r="L12">
        <v>1486</v>
      </c>
      <c r="M12">
        <v>25200</v>
      </c>
      <c r="N12">
        <v>1469</v>
      </c>
      <c r="O12" s="7">
        <f t="shared" si="0"/>
        <v>1476.14</v>
      </c>
      <c r="Q12" s="6">
        <f t="shared" si="1"/>
        <v>0.16918531197352321</v>
      </c>
      <c r="R12" s="6"/>
      <c r="S12">
        <v>20150722</v>
      </c>
      <c r="T12">
        <v>26400</v>
      </c>
      <c r="U12">
        <v>257</v>
      </c>
      <c r="V12" s="6">
        <f>qlBlackFormulaImpliedStdDev("Call", T12, F12, U12, 1, 0, 0.3)/SQRT(B12/365)</f>
        <v>0.1647037732110529</v>
      </c>
      <c r="X12">
        <v>20150722</v>
      </c>
      <c r="Y12">
        <v>23600</v>
      </c>
      <c r="Z12">
        <v>260</v>
      </c>
      <c r="AA12" s="6">
        <v>0.18720927247248184</v>
      </c>
    </row>
    <row r="13" spans="1:27">
      <c r="A13" s="4">
        <f t="shared" si="2"/>
        <v>42208</v>
      </c>
      <c r="B13" s="5">
        <f>VLOOKUP(D13, Expiration!$A$1:$B$25, 2, FALSE)-A13</f>
        <v>68</v>
      </c>
      <c r="C13" s="1">
        <v>20150723</v>
      </c>
      <c r="D13" s="2" t="s">
        <v>1</v>
      </c>
      <c r="E13" s="1">
        <v>25148</v>
      </c>
      <c r="F13" s="1">
        <v>25239</v>
      </c>
      <c r="G13" s="1">
        <v>348</v>
      </c>
      <c r="H13" s="1">
        <v>6928</v>
      </c>
      <c r="J13">
        <v>20150723</v>
      </c>
      <c r="K13">
        <v>25200</v>
      </c>
      <c r="L13">
        <v>1447</v>
      </c>
      <c r="M13">
        <v>25400</v>
      </c>
      <c r="N13">
        <v>1449</v>
      </c>
      <c r="O13" s="7">
        <f t="shared" si="0"/>
        <v>1448.61</v>
      </c>
      <c r="Q13" s="6">
        <f t="shared" si="1"/>
        <v>0.16621925219619185</v>
      </c>
      <c r="R13" s="6"/>
      <c r="S13">
        <v>20150723</v>
      </c>
      <c r="T13">
        <v>26600</v>
      </c>
      <c r="U13">
        <v>250</v>
      </c>
      <c r="V13" s="6">
        <f>qlBlackFormulaImpliedStdDev("Call", T13, F13, U13, 1, 0, 0.3)/SQRT(B13/365)</f>
        <v>0.16581115840369753</v>
      </c>
      <c r="X13">
        <v>20150723</v>
      </c>
      <c r="Y13">
        <v>23800</v>
      </c>
      <c r="Z13">
        <v>252</v>
      </c>
      <c r="AA13" s="6">
        <v>0.1814937308494555</v>
      </c>
    </row>
    <row r="14" spans="1:27">
      <c r="A14" s="4">
        <f t="shared" si="2"/>
        <v>42209</v>
      </c>
      <c r="B14" s="5">
        <f>VLOOKUP(D14, Expiration!$A$1:$B$25, 2, FALSE)-A14</f>
        <v>67</v>
      </c>
      <c r="C14" s="1">
        <v>20150724</v>
      </c>
      <c r="D14" s="2" t="s">
        <v>1</v>
      </c>
      <c r="E14" s="1">
        <v>25125</v>
      </c>
      <c r="F14" s="1">
        <v>25022</v>
      </c>
      <c r="G14" s="1">
        <v>152</v>
      </c>
      <c r="H14" s="1">
        <v>6981</v>
      </c>
      <c r="J14">
        <v>20150724</v>
      </c>
      <c r="K14">
        <v>25000</v>
      </c>
      <c r="L14">
        <v>1449</v>
      </c>
      <c r="M14">
        <v>25200</v>
      </c>
      <c r="N14">
        <v>1456</v>
      </c>
      <c r="O14" s="7">
        <f t="shared" si="0"/>
        <v>1455.23</v>
      </c>
      <c r="Q14" s="6">
        <f t="shared" si="1"/>
        <v>0.16967922167498828</v>
      </c>
      <c r="R14" s="6"/>
      <c r="S14">
        <v>20150724</v>
      </c>
      <c r="T14">
        <v>26400</v>
      </c>
      <c r="U14">
        <v>240</v>
      </c>
      <c r="V14" s="6">
        <f>qlBlackFormulaImpliedStdDev("Call", T14, F14, U14, 1, 0, 0.3)/SQRT(B14/365)</f>
        <v>0.16656747425074919</v>
      </c>
      <c r="X14">
        <v>20150724</v>
      </c>
      <c r="Y14">
        <v>23600</v>
      </c>
      <c r="Z14">
        <v>256</v>
      </c>
      <c r="AA14" s="6">
        <v>0.18445154398096486</v>
      </c>
    </row>
    <row r="15" spans="1:27">
      <c r="A15" s="4">
        <f t="shared" si="2"/>
        <v>42212</v>
      </c>
      <c r="B15" s="5">
        <f>VLOOKUP(D15, Expiration!$A$1:$B$25, 2, FALSE)-A15</f>
        <v>64</v>
      </c>
      <c r="C15" s="1">
        <v>20150727</v>
      </c>
      <c r="D15" s="2" t="s">
        <v>1</v>
      </c>
      <c r="E15" s="1">
        <v>24711</v>
      </c>
      <c r="F15" s="1">
        <v>24202</v>
      </c>
      <c r="G15" s="1">
        <v>716</v>
      </c>
      <c r="H15" s="1">
        <v>7167</v>
      </c>
      <c r="J15">
        <v>20150727</v>
      </c>
      <c r="K15">
        <v>24200</v>
      </c>
      <c r="L15">
        <v>1623</v>
      </c>
      <c r="M15">
        <v>24400</v>
      </c>
      <c r="N15">
        <v>1621</v>
      </c>
      <c r="O15" s="7">
        <f t="shared" si="0"/>
        <v>1621.02</v>
      </c>
      <c r="Q15" s="6">
        <f t="shared" si="1"/>
        <v>0.19994178951763653</v>
      </c>
      <c r="R15" s="6"/>
      <c r="S15">
        <v>20150727</v>
      </c>
      <c r="T15">
        <v>25800</v>
      </c>
      <c r="U15">
        <v>242</v>
      </c>
      <c r="V15" s="6">
        <f>qlBlackFormulaImpliedStdDev("Call", T15, F15, U15, 1, 0, 0.3)/SQRT(B15/365)</f>
        <v>0.19154107364912004</v>
      </c>
      <c r="X15">
        <v>20150727</v>
      </c>
      <c r="Y15">
        <v>22600</v>
      </c>
      <c r="Z15">
        <v>294</v>
      </c>
      <c r="AA15" s="6">
        <v>0.22280914129679613</v>
      </c>
    </row>
    <row r="16" spans="1:27">
      <c r="A16" s="4">
        <f t="shared" si="2"/>
        <v>42213</v>
      </c>
      <c r="B16" s="5">
        <f>VLOOKUP(D16, Expiration!$A$1:$B$25, 2, FALSE)-A16</f>
        <v>63</v>
      </c>
      <c r="C16" s="1">
        <v>20150728</v>
      </c>
      <c r="D16" s="2" t="s">
        <v>1</v>
      </c>
      <c r="E16" s="1">
        <v>24197</v>
      </c>
      <c r="F16" s="1">
        <v>24328</v>
      </c>
      <c r="G16" s="1">
        <v>1135</v>
      </c>
      <c r="H16" s="1">
        <v>7379</v>
      </c>
      <c r="J16">
        <v>20150728</v>
      </c>
      <c r="K16">
        <v>24200</v>
      </c>
      <c r="L16">
        <v>1575</v>
      </c>
      <c r="M16">
        <v>24400</v>
      </c>
      <c r="N16">
        <v>1566</v>
      </c>
      <c r="O16" s="7">
        <f t="shared" si="0"/>
        <v>1571.76</v>
      </c>
      <c r="Q16" s="6">
        <f t="shared" si="1"/>
        <v>0.19438645314158789</v>
      </c>
      <c r="R16" s="6"/>
      <c r="S16">
        <v>20150728</v>
      </c>
      <c r="T16">
        <v>25800</v>
      </c>
      <c r="U16">
        <v>269</v>
      </c>
      <c r="V16" s="6">
        <f>qlBlackFormulaImpliedStdDev("Call", T16, F16, U16, 1, 0, 0.3)/SQRT(B16/365)</f>
        <v>0.19225716709887783</v>
      </c>
      <c r="X16">
        <v>20150728</v>
      </c>
      <c r="Y16">
        <v>22800</v>
      </c>
      <c r="Z16">
        <v>295</v>
      </c>
      <c r="AA16" s="6">
        <v>0.21756444915670686</v>
      </c>
    </row>
    <row r="17" spans="1:27">
      <c r="A17" s="4">
        <f t="shared" si="2"/>
        <v>42214</v>
      </c>
      <c r="B17" s="5">
        <f>VLOOKUP(D17, Expiration!$A$1:$B$25, 2, FALSE)-A17</f>
        <v>62</v>
      </c>
      <c r="C17" s="1">
        <v>20150729</v>
      </c>
      <c r="D17" s="2" t="s">
        <v>1</v>
      </c>
      <c r="E17" s="1">
        <v>24506</v>
      </c>
      <c r="F17" s="1">
        <v>24486</v>
      </c>
      <c r="G17" s="1">
        <v>200</v>
      </c>
      <c r="H17" s="1">
        <v>7435</v>
      </c>
      <c r="J17">
        <v>20150729</v>
      </c>
      <c r="K17">
        <v>24400</v>
      </c>
      <c r="L17">
        <v>1557</v>
      </c>
      <c r="M17">
        <v>24600</v>
      </c>
      <c r="N17">
        <v>1573</v>
      </c>
      <c r="O17" s="7">
        <f t="shared" si="0"/>
        <v>1566.12</v>
      </c>
      <c r="Q17" s="6">
        <f t="shared" si="1"/>
        <v>0.19398484004240871</v>
      </c>
      <c r="R17" s="6"/>
      <c r="S17">
        <v>20150729</v>
      </c>
      <c r="T17">
        <v>26000</v>
      </c>
      <c r="U17">
        <v>255</v>
      </c>
      <c r="V17" s="6">
        <f>qlBlackFormulaImpliedStdDev("Call", T17, F17, U17, 1, 0, 0.3)/SQRT(B17/365)</f>
        <v>0.1910021217355555</v>
      </c>
      <c r="X17">
        <v>20150729</v>
      </c>
      <c r="Y17">
        <v>23000</v>
      </c>
      <c r="Z17">
        <v>302</v>
      </c>
      <c r="AA17" s="6">
        <v>0.21664895685206767</v>
      </c>
    </row>
    <row r="18" spans="1:27">
      <c r="A18" s="4">
        <f t="shared" si="2"/>
        <v>42215</v>
      </c>
      <c r="B18" s="5">
        <f>VLOOKUP(D18, Expiration!$A$1:$B$25, 2, FALSE)-A18</f>
        <v>61</v>
      </c>
      <c r="C18" s="1">
        <v>20150730</v>
      </c>
      <c r="D18" s="2" t="s">
        <v>1</v>
      </c>
      <c r="E18" s="1">
        <v>24660</v>
      </c>
      <c r="F18" s="1">
        <v>24342</v>
      </c>
      <c r="G18" s="1">
        <v>553</v>
      </c>
      <c r="H18" s="1">
        <v>7612</v>
      </c>
      <c r="J18">
        <v>20150730</v>
      </c>
      <c r="K18">
        <v>24200</v>
      </c>
      <c r="L18">
        <v>1504</v>
      </c>
      <c r="M18">
        <v>24400</v>
      </c>
      <c r="N18">
        <v>1479</v>
      </c>
      <c r="O18" s="7">
        <f t="shared" si="0"/>
        <v>1496.75</v>
      </c>
      <c r="Q18" s="6">
        <f t="shared" si="1"/>
        <v>0.18801155286884164</v>
      </c>
      <c r="R18" s="6"/>
      <c r="S18">
        <v>20150730</v>
      </c>
      <c r="T18">
        <v>25800</v>
      </c>
      <c r="U18">
        <v>225</v>
      </c>
      <c r="V18" s="6">
        <f>qlBlackFormulaImpliedStdDev("Call", T18, F18, U18, 1, 0, 0.3)/SQRT(B18/365)</f>
        <v>0.17989751613169469</v>
      </c>
      <c r="X18">
        <v>20150730</v>
      </c>
      <c r="Y18">
        <v>23000</v>
      </c>
      <c r="Z18">
        <v>296</v>
      </c>
      <c r="AA18" s="6">
        <v>0.20547709463708433</v>
      </c>
    </row>
    <row r="19" spans="1:27">
      <c r="A19" s="4">
        <f t="shared" si="2"/>
        <v>42216</v>
      </c>
      <c r="B19" s="5">
        <f>VLOOKUP(D19, Expiration!$A$1:$B$25, 2, FALSE)-A19</f>
        <v>60</v>
      </c>
      <c r="C19" s="1">
        <v>20150731</v>
      </c>
      <c r="D19" s="2" t="s">
        <v>1</v>
      </c>
      <c r="E19" s="1">
        <v>24560</v>
      </c>
      <c r="F19" s="1">
        <v>24445</v>
      </c>
      <c r="G19" s="1">
        <v>375</v>
      </c>
      <c r="H19" s="1">
        <v>7896</v>
      </c>
      <c r="J19">
        <v>20150731</v>
      </c>
      <c r="K19">
        <v>24400</v>
      </c>
      <c r="L19">
        <v>1431</v>
      </c>
      <c r="M19">
        <v>24600</v>
      </c>
      <c r="N19">
        <v>1417</v>
      </c>
      <c r="O19" s="7">
        <f t="shared" si="0"/>
        <v>1420.15</v>
      </c>
      <c r="Q19" s="6">
        <f t="shared" si="1"/>
        <v>0.17911212919100067</v>
      </c>
      <c r="R19" s="6"/>
      <c r="S19">
        <v>20150731</v>
      </c>
      <c r="T19">
        <v>25800</v>
      </c>
      <c r="U19">
        <v>232</v>
      </c>
      <c r="V19" s="6">
        <f>qlBlackFormulaImpliedStdDev("Call", T19, F19, U19, 1, 0, 0.3)/SQRT(B19/365)</f>
        <v>0.17582608489439075</v>
      </c>
      <c r="X19">
        <v>20150731</v>
      </c>
      <c r="Y19">
        <v>23200</v>
      </c>
      <c r="Z19">
        <v>294</v>
      </c>
      <c r="AA19" s="6">
        <v>0.19724967608577829</v>
      </c>
    </row>
    <row r="20" spans="1:27">
      <c r="A20" s="4">
        <f t="shared" si="2"/>
        <v>42219</v>
      </c>
      <c r="B20" s="5">
        <f>VLOOKUP(D20, Expiration!$A$1:$B$25, 2, FALSE)-A20</f>
        <v>57</v>
      </c>
      <c r="C20" s="1">
        <v>20150803</v>
      </c>
      <c r="D20" s="2" t="s">
        <v>1</v>
      </c>
      <c r="E20" s="1">
        <v>24446</v>
      </c>
      <c r="F20" s="1">
        <v>24195</v>
      </c>
      <c r="G20" s="1">
        <v>753</v>
      </c>
      <c r="H20" s="1">
        <v>8160</v>
      </c>
      <c r="J20">
        <v>20150803</v>
      </c>
      <c r="K20">
        <v>24000</v>
      </c>
      <c r="L20">
        <v>1442</v>
      </c>
      <c r="M20">
        <v>24200</v>
      </c>
      <c r="N20">
        <v>1433</v>
      </c>
      <c r="O20" s="7">
        <f t="shared" si="0"/>
        <v>1441.7750000000001</v>
      </c>
      <c r="Q20" s="6">
        <f t="shared" si="1"/>
        <v>0.18849111421353654</v>
      </c>
      <c r="R20" s="6"/>
      <c r="S20">
        <v>20150803</v>
      </c>
      <c r="T20">
        <v>25600</v>
      </c>
      <c r="U20">
        <v>223</v>
      </c>
      <c r="V20" s="6">
        <f>qlBlackFormulaImpliedStdDev("Call", T20, F20, U20, 1, 0, 0.3)/SQRT(B20/365)</f>
        <v>0.18272875524323839</v>
      </c>
      <c r="X20">
        <v>20150803</v>
      </c>
      <c r="Y20">
        <v>22800</v>
      </c>
      <c r="Z20">
        <v>275</v>
      </c>
      <c r="AA20" s="6">
        <v>0.21136870362183061</v>
      </c>
    </row>
    <row r="21" spans="1:27">
      <c r="A21" s="4">
        <f t="shared" ref="A21:A44" si="3">DATE(LEFT(C21, 4), MID(C21, 5, 2), RIGHT(C21, 2))</f>
        <v>42220</v>
      </c>
      <c r="B21" s="5">
        <f>VLOOKUP(D21, Expiration!$A$1:$B$25, 2, FALSE)-A21</f>
        <v>56</v>
      </c>
      <c r="C21">
        <v>20150804</v>
      </c>
      <c r="D21" s="3" t="s">
        <v>1</v>
      </c>
      <c r="E21">
        <v>24077</v>
      </c>
      <c r="F21">
        <v>24180</v>
      </c>
      <c r="G21">
        <v>337</v>
      </c>
      <c r="H21">
        <v>7980</v>
      </c>
      <c r="J21">
        <v>20150804</v>
      </c>
      <c r="K21">
        <v>24000</v>
      </c>
      <c r="L21">
        <v>1442</v>
      </c>
      <c r="M21">
        <v>24200</v>
      </c>
      <c r="N21">
        <v>1413</v>
      </c>
      <c r="O21" s="7">
        <f t="shared" si="0"/>
        <v>1439.1</v>
      </c>
      <c r="Q21" s="6">
        <f t="shared" si="1"/>
        <v>0.18993154822131622</v>
      </c>
      <c r="S21">
        <v>20150804</v>
      </c>
      <c r="T21">
        <v>25600</v>
      </c>
      <c r="U21">
        <v>212</v>
      </c>
      <c r="V21" s="6">
        <f>qlBlackFormulaImpliedStdDev("Call", T21, F21, U21, 1, 0, 0.3)/SQRT(B21/365)</f>
        <v>0.18166762112492829</v>
      </c>
      <c r="X21">
        <v>20150804</v>
      </c>
      <c r="Y21">
        <v>22800</v>
      </c>
      <c r="Z21">
        <v>269</v>
      </c>
      <c r="AA21" s="6">
        <v>0.20995091226970897</v>
      </c>
    </row>
    <row r="22" spans="1:27">
      <c r="A22" s="4">
        <f t="shared" si="3"/>
        <v>42221</v>
      </c>
      <c r="B22" s="5">
        <f>VLOOKUP(D22, Expiration!$A$1:$B$25, 2, FALSE)-A22</f>
        <v>55</v>
      </c>
      <c r="C22">
        <v>20150805</v>
      </c>
      <c r="D22" s="3" t="s">
        <v>1</v>
      </c>
      <c r="E22">
        <v>24250</v>
      </c>
      <c r="F22">
        <v>24383</v>
      </c>
      <c r="G22">
        <v>196</v>
      </c>
      <c r="H22">
        <v>8022</v>
      </c>
      <c r="J22">
        <v>20150805</v>
      </c>
      <c r="K22">
        <v>24200</v>
      </c>
      <c r="L22">
        <v>1396</v>
      </c>
      <c r="M22">
        <v>24400</v>
      </c>
      <c r="N22">
        <v>1375</v>
      </c>
      <c r="O22" s="7">
        <f t="shared" si="0"/>
        <v>1394.2149999999999</v>
      </c>
      <c r="Q22" s="6">
        <f t="shared" si="1"/>
        <v>0.18412709984608885</v>
      </c>
      <c r="S22">
        <v>20150805</v>
      </c>
      <c r="T22">
        <v>25600</v>
      </c>
      <c r="U22">
        <v>242</v>
      </c>
      <c r="V22" s="6">
        <f>qlBlackFormulaImpliedStdDev("Call", T22, F22, U22, 1, 0, 0.3)/SQRT(B22/365)</f>
        <v>0.17716024865751373</v>
      </c>
      <c r="X22">
        <v>20150805</v>
      </c>
      <c r="Y22">
        <v>23000</v>
      </c>
      <c r="Z22">
        <v>260</v>
      </c>
      <c r="AA22" s="6">
        <v>0.20711407158550393</v>
      </c>
    </row>
    <row r="23" spans="1:27">
      <c r="A23" s="4">
        <f t="shared" si="3"/>
        <v>42222</v>
      </c>
      <c r="B23" s="5">
        <f>VLOOKUP(D23, Expiration!$A$1:$B$25, 2, FALSE)-A23</f>
        <v>54</v>
      </c>
      <c r="C23">
        <v>20150806</v>
      </c>
      <c r="D23" s="3" t="s">
        <v>1</v>
      </c>
      <c r="E23">
        <v>24378</v>
      </c>
      <c r="F23">
        <v>24229</v>
      </c>
      <c r="G23">
        <v>236</v>
      </c>
      <c r="H23">
        <v>8124</v>
      </c>
      <c r="J23">
        <v>20150806</v>
      </c>
      <c r="K23">
        <v>24200</v>
      </c>
      <c r="L23">
        <v>1365</v>
      </c>
      <c r="M23">
        <v>24400</v>
      </c>
      <c r="N23">
        <v>1353</v>
      </c>
      <c r="O23" s="7">
        <f t="shared" si="0"/>
        <v>1354.74</v>
      </c>
      <c r="Q23" s="6">
        <f t="shared" si="1"/>
        <v>0.18171050248705597</v>
      </c>
      <c r="S23">
        <v>20150806</v>
      </c>
      <c r="T23">
        <v>25400</v>
      </c>
      <c r="U23">
        <v>249</v>
      </c>
      <c r="V23" s="6">
        <f>qlBlackFormulaImpliedStdDev("Call", T23, F23, U23, 1, 0, 0.3)/SQRT(B23/365)</f>
        <v>0.17867081498977078</v>
      </c>
      <c r="X23">
        <v>20150806</v>
      </c>
      <c r="Y23">
        <v>23000</v>
      </c>
      <c r="Z23">
        <v>285</v>
      </c>
      <c r="AA23" s="6">
        <v>0.20526586021394908</v>
      </c>
    </row>
    <row r="24" spans="1:27">
      <c r="A24" s="4">
        <f t="shared" si="3"/>
        <v>42223</v>
      </c>
      <c r="B24" s="5">
        <f>VLOOKUP(D24, Expiration!$A$1:$B$25, 2, FALSE)-A24</f>
        <v>53</v>
      </c>
      <c r="C24">
        <v>20150807</v>
      </c>
      <c r="D24" s="3" t="s">
        <v>1</v>
      </c>
      <c r="E24">
        <v>24059</v>
      </c>
      <c r="F24">
        <v>24365</v>
      </c>
      <c r="G24">
        <v>430</v>
      </c>
      <c r="H24">
        <v>8099</v>
      </c>
      <c r="J24">
        <v>20150807</v>
      </c>
      <c r="K24">
        <v>24200</v>
      </c>
      <c r="L24">
        <v>1368</v>
      </c>
      <c r="M24">
        <v>24400</v>
      </c>
      <c r="N24">
        <v>1356</v>
      </c>
      <c r="O24" s="7">
        <f t="shared" si="0"/>
        <v>1365.9</v>
      </c>
      <c r="Q24" s="6">
        <f t="shared" si="1"/>
        <v>0.18389545670225857</v>
      </c>
      <c r="S24">
        <v>20150807</v>
      </c>
      <c r="T24">
        <v>25600</v>
      </c>
      <c r="U24">
        <v>231</v>
      </c>
      <c r="V24" s="6">
        <f>qlBlackFormulaImpliedStdDev("Call", T24, F24, U24, 1, 0, 0.3)/SQRT(B24/365)</f>
        <v>0.17823722367318151</v>
      </c>
      <c r="X24">
        <v>20150807</v>
      </c>
      <c r="Y24">
        <v>23000</v>
      </c>
      <c r="Z24">
        <v>248</v>
      </c>
      <c r="AA24" s="6">
        <v>0.20518034755710185</v>
      </c>
    </row>
    <row r="25" spans="1:27">
      <c r="A25" s="4">
        <f t="shared" si="3"/>
        <v>42226</v>
      </c>
      <c r="B25" s="5">
        <f>VLOOKUP(D25, Expiration!$A$1:$B$25, 2, FALSE)-A25</f>
        <v>50</v>
      </c>
      <c r="C25">
        <v>20150810</v>
      </c>
      <c r="D25" s="3" t="s">
        <v>1</v>
      </c>
      <c r="E25">
        <v>24295</v>
      </c>
      <c r="F25">
        <v>24311</v>
      </c>
      <c r="G25">
        <v>515</v>
      </c>
      <c r="H25">
        <v>8300</v>
      </c>
      <c r="J25">
        <v>20150810</v>
      </c>
      <c r="K25">
        <v>24200</v>
      </c>
      <c r="L25">
        <v>1375</v>
      </c>
      <c r="M25">
        <v>24400</v>
      </c>
      <c r="N25">
        <v>1363</v>
      </c>
      <c r="O25" s="7">
        <f t="shared" si="0"/>
        <v>1369.66</v>
      </c>
      <c r="Q25" s="6">
        <f t="shared" si="1"/>
        <v>0.19027485182526788</v>
      </c>
      <c r="S25">
        <v>20150810</v>
      </c>
      <c r="T25">
        <v>25600</v>
      </c>
      <c r="U25">
        <v>222</v>
      </c>
      <c r="V25" s="6">
        <f>qlBlackFormulaImpliedStdDev("Call", T25, F25, U25, 1, 0, 0.3)/SQRT(B25/365)</f>
        <v>0.18491537965431701</v>
      </c>
      <c r="X25">
        <v>20150810</v>
      </c>
      <c r="Y25">
        <v>23000</v>
      </c>
      <c r="Z25">
        <v>262</v>
      </c>
      <c r="AA25" s="6">
        <v>0.21197028188486641</v>
      </c>
    </row>
    <row r="26" spans="1:27">
      <c r="A26" s="4">
        <f t="shared" si="3"/>
        <v>42227</v>
      </c>
      <c r="B26" s="5">
        <f>VLOOKUP(D26, Expiration!$A$1:$B$25, 2, FALSE)-A26</f>
        <v>49</v>
      </c>
      <c r="C26">
        <v>20150811</v>
      </c>
      <c r="D26" s="3" t="s">
        <v>1</v>
      </c>
      <c r="E26">
        <v>24555</v>
      </c>
      <c r="F26">
        <v>24293</v>
      </c>
      <c r="G26">
        <v>977</v>
      </c>
      <c r="H26">
        <v>8349</v>
      </c>
      <c r="J26">
        <v>20150811</v>
      </c>
      <c r="K26">
        <v>24200</v>
      </c>
      <c r="L26">
        <v>1414</v>
      </c>
      <c r="M26">
        <v>24400</v>
      </c>
      <c r="N26">
        <v>1392</v>
      </c>
      <c r="O26" s="7">
        <f t="shared" si="0"/>
        <v>1402.23</v>
      </c>
      <c r="Q26" s="6">
        <f t="shared" si="1"/>
        <v>0.19692302996262262</v>
      </c>
      <c r="S26">
        <v>20150811</v>
      </c>
      <c r="T26">
        <v>25600</v>
      </c>
      <c r="U26">
        <v>227</v>
      </c>
      <c r="V26" s="6">
        <f>qlBlackFormulaImpliedStdDev("Call", T26, F26, U26, 1, 0, 0.3)/SQRT(B26/365)</f>
        <v>0.19016451342038815</v>
      </c>
      <c r="X26">
        <v>20150811</v>
      </c>
      <c r="Y26">
        <v>23000</v>
      </c>
      <c r="Z26">
        <v>282</v>
      </c>
      <c r="AA26" s="6">
        <v>0.21994760396803859</v>
      </c>
    </row>
    <row r="27" spans="1:27">
      <c r="A27" s="4">
        <f t="shared" si="3"/>
        <v>42228</v>
      </c>
      <c r="B27" s="5">
        <f>VLOOKUP(D27, Expiration!$A$1:$B$25, 2, FALSE)-A27</f>
        <v>48</v>
      </c>
      <c r="C27">
        <v>20150812</v>
      </c>
      <c r="D27" s="3" t="s">
        <v>1</v>
      </c>
      <c r="E27">
        <v>24200</v>
      </c>
      <c r="F27">
        <v>23623</v>
      </c>
      <c r="G27">
        <v>1322</v>
      </c>
      <c r="H27">
        <v>8448</v>
      </c>
      <c r="J27">
        <v>20150812</v>
      </c>
      <c r="K27">
        <v>23600</v>
      </c>
      <c r="L27">
        <v>1551</v>
      </c>
      <c r="M27">
        <v>23800</v>
      </c>
      <c r="N27">
        <v>1544</v>
      </c>
      <c r="O27" s="7">
        <f t="shared" si="0"/>
        <v>1544.8050000000001</v>
      </c>
      <c r="Q27" s="6">
        <f t="shared" si="1"/>
        <v>0.22541065606127392</v>
      </c>
      <c r="S27">
        <v>20150812</v>
      </c>
      <c r="T27">
        <v>25000</v>
      </c>
      <c r="U27">
        <v>262</v>
      </c>
      <c r="V27" s="6">
        <f>qlBlackFormulaImpliedStdDev("Call", T27, F27, U27, 1, 0, 0.3)/SQRT(B27/365)</f>
        <v>0.21625911260530495</v>
      </c>
      <c r="X27">
        <v>20150812</v>
      </c>
      <c r="Y27">
        <v>22200</v>
      </c>
      <c r="Z27">
        <v>309</v>
      </c>
      <c r="AA27" s="6">
        <v>0.25193553506454774</v>
      </c>
    </row>
    <row r="28" spans="1:27">
      <c r="A28" s="4">
        <f t="shared" si="3"/>
        <v>42229</v>
      </c>
      <c r="B28" s="5">
        <f>VLOOKUP(D28, Expiration!$A$1:$B$25, 2, FALSE)-A28</f>
        <v>47</v>
      </c>
      <c r="C28">
        <v>20150813</v>
      </c>
      <c r="D28" s="3" t="s">
        <v>1</v>
      </c>
      <c r="E28">
        <v>23780</v>
      </c>
      <c r="F28">
        <v>23945</v>
      </c>
      <c r="G28">
        <v>1146</v>
      </c>
      <c r="H28">
        <v>8388</v>
      </c>
      <c r="J28">
        <v>20150813</v>
      </c>
      <c r="K28">
        <v>23800</v>
      </c>
      <c r="L28">
        <v>1467</v>
      </c>
      <c r="M28">
        <v>24000</v>
      </c>
      <c r="N28">
        <v>1442</v>
      </c>
      <c r="O28" s="7">
        <f t="shared" si="0"/>
        <v>1460.125</v>
      </c>
      <c r="Q28" s="6">
        <f t="shared" si="1"/>
        <v>0.2124137919119391</v>
      </c>
      <c r="S28">
        <v>20150813</v>
      </c>
      <c r="T28">
        <v>25400</v>
      </c>
      <c r="U28">
        <v>214</v>
      </c>
      <c r="V28" s="6">
        <f>qlBlackFormulaImpliedStdDev("Call", T28, F28, U28, 1, 0, 0.3)/SQRT(B28/365)</f>
        <v>0.20372216865127402</v>
      </c>
      <c r="X28">
        <v>20150813</v>
      </c>
      <c r="Y28">
        <v>22600</v>
      </c>
      <c r="Z28">
        <v>293</v>
      </c>
      <c r="AA28" s="6">
        <v>0.23724617139589574</v>
      </c>
    </row>
    <row r="29" spans="1:27">
      <c r="A29" s="4">
        <f t="shared" si="3"/>
        <v>42230</v>
      </c>
      <c r="B29" s="5">
        <f>VLOOKUP(D29, Expiration!$A$1:$B$25, 2, FALSE)-A29</f>
        <v>46</v>
      </c>
      <c r="C29">
        <v>20150814</v>
      </c>
      <c r="D29" s="3" t="s">
        <v>1</v>
      </c>
      <c r="E29">
        <v>23888</v>
      </c>
      <c r="F29">
        <v>23851</v>
      </c>
      <c r="G29">
        <v>594</v>
      </c>
      <c r="H29">
        <v>8313</v>
      </c>
      <c r="J29">
        <v>20150814</v>
      </c>
      <c r="K29">
        <v>23800</v>
      </c>
      <c r="L29">
        <v>1372</v>
      </c>
      <c r="M29">
        <v>24000</v>
      </c>
      <c r="N29">
        <v>1371</v>
      </c>
      <c r="O29" s="7">
        <f t="shared" si="0"/>
        <v>1371.2550000000001</v>
      </c>
      <c r="Q29" s="6">
        <f t="shared" si="1"/>
        <v>0.20243665900424854</v>
      </c>
      <c r="S29">
        <v>20150814</v>
      </c>
      <c r="T29">
        <v>25200</v>
      </c>
      <c r="U29">
        <v>199</v>
      </c>
      <c r="V29" s="6">
        <f>qlBlackFormulaImpliedStdDev("Call", T29, F29, U29, 1, 0, 0.3)/SQRT(B29/365)</f>
        <v>0.19228961086019677</v>
      </c>
      <c r="X29">
        <v>20150814</v>
      </c>
      <c r="Y29">
        <v>22600</v>
      </c>
      <c r="Z29">
        <v>283</v>
      </c>
      <c r="AA29" s="6">
        <v>0.22748688054426172</v>
      </c>
    </row>
    <row r="30" spans="1:27">
      <c r="A30" s="4">
        <f t="shared" si="3"/>
        <v>42233</v>
      </c>
      <c r="B30" s="5">
        <f>VLOOKUP(D30, Expiration!$A$1:$B$25, 2, FALSE)-A30</f>
        <v>43</v>
      </c>
      <c r="C30">
        <v>20150817</v>
      </c>
      <c r="D30" s="3" t="s">
        <v>1</v>
      </c>
      <c r="E30">
        <v>23845</v>
      </c>
      <c r="F30">
        <v>23685</v>
      </c>
      <c r="G30">
        <v>1287</v>
      </c>
      <c r="H30">
        <v>8521</v>
      </c>
      <c r="J30">
        <v>20150817</v>
      </c>
      <c r="K30">
        <v>23600</v>
      </c>
      <c r="L30">
        <v>1322</v>
      </c>
      <c r="M30">
        <v>23800</v>
      </c>
      <c r="N30">
        <v>1305</v>
      </c>
      <c r="O30" s="7">
        <f t="shared" si="0"/>
        <v>1312.2249999999999</v>
      </c>
      <c r="Q30" s="6">
        <f t="shared" si="1"/>
        <v>0.20177025176058078</v>
      </c>
      <c r="S30">
        <v>20150817</v>
      </c>
      <c r="T30">
        <v>25000</v>
      </c>
      <c r="U30">
        <v>187</v>
      </c>
      <c r="V30" s="6">
        <f>qlBlackFormulaImpliedStdDev("Call", T30, F30, U30, 1, 0, 0.3)/SQRT(B30/365)</f>
        <v>0.19240955338040486</v>
      </c>
      <c r="X30">
        <v>20150817</v>
      </c>
      <c r="Y30">
        <v>22400</v>
      </c>
      <c r="Z30">
        <v>268</v>
      </c>
      <c r="AA30" s="6">
        <v>0.23453780422826254</v>
      </c>
    </row>
    <row r="31" spans="1:27">
      <c r="A31" s="4">
        <f t="shared" si="3"/>
        <v>42234</v>
      </c>
      <c r="B31" s="5">
        <f>VLOOKUP(D31, Expiration!$A$1:$B$25, 2, FALSE)-A31</f>
        <v>42</v>
      </c>
      <c r="C31">
        <v>20150818</v>
      </c>
      <c r="D31" s="3" t="s">
        <v>1</v>
      </c>
      <c r="E31">
        <v>23779</v>
      </c>
      <c r="F31">
        <v>23332</v>
      </c>
      <c r="G31">
        <v>1116</v>
      </c>
      <c r="H31">
        <v>8521</v>
      </c>
      <c r="J31">
        <v>20150818</v>
      </c>
      <c r="K31">
        <v>23200</v>
      </c>
      <c r="L31">
        <v>1330</v>
      </c>
      <c r="M31">
        <v>23400</v>
      </c>
      <c r="N31">
        <v>1305</v>
      </c>
      <c r="O31" s="7">
        <f t="shared" si="0"/>
        <v>1321.5</v>
      </c>
      <c r="Q31" s="6">
        <f t="shared" si="1"/>
        <v>0.20871179815147767</v>
      </c>
      <c r="S31">
        <v>20150818</v>
      </c>
      <c r="T31">
        <v>24600</v>
      </c>
      <c r="U31">
        <v>194</v>
      </c>
      <c r="V31" s="6">
        <f>qlBlackFormulaImpliedStdDev("Call", T31, F31, U31, 1, 0, 0.3)/SQRT(B31/365)</f>
        <v>0.19651722433845523</v>
      </c>
      <c r="X31">
        <v>20150818</v>
      </c>
      <c r="Y31">
        <v>22200</v>
      </c>
      <c r="Z31">
        <v>289</v>
      </c>
      <c r="AA31" s="6">
        <v>0.23295318580021943</v>
      </c>
    </row>
    <row r="32" spans="1:27">
      <c r="A32" s="4">
        <f t="shared" si="3"/>
        <v>42235</v>
      </c>
      <c r="B32" s="5">
        <f>VLOOKUP(D32, Expiration!$A$1:$B$25, 2, FALSE)-A32</f>
        <v>41</v>
      </c>
      <c r="C32">
        <v>20150819</v>
      </c>
      <c r="D32" s="3" t="s">
        <v>1</v>
      </c>
      <c r="E32">
        <v>23385</v>
      </c>
      <c r="F32">
        <v>22967</v>
      </c>
      <c r="G32">
        <v>1714</v>
      </c>
      <c r="H32">
        <v>8523</v>
      </c>
      <c r="J32">
        <v>20150819</v>
      </c>
      <c r="K32">
        <v>22800</v>
      </c>
      <c r="L32">
        <v>1384</v>
      </c>
      <c r="M32">
        <v>23000</v>
      </c>
      <c r="N32">
        <v>1375</v>
      </c>
      <c r="O32" s="7">
        <f t="shared" si="0"/>
        <v>1382.5150000000001</v>
      </c>
      <c r="Q32" s="6">
        <f t="shared" si="1"/>
        <v>0.22450710953006292</v>
      </c>
      <c r="S32">
        <v>20150819</v>
      </c>
      <c r="T32">
        <v>24200</v>
      </c>
      <c r="U32">
        <v>217</v>
      </c>
      <c r="V32" s="6">
        <f>qlBlackFormulaImpliedStdDev("Call", T32, F32, U32, 1, 0, 0.3)/SQRT(B32/365)</f>
        <v>0.20865431927642408</v>
      </c>
      <c r="X32">
        <v>20150819</v>
      </c>
      <c r="Y32">
        <v>21600</v>
      </c>
      <c r="Z32">
        <v>274</v>
      </c>
      <c r="AA32" s="6">
        <v>0.25948748757739826</v>
      </c>
    </row>
    <row r="33" spans="1:27">
      <c r="A33" s="4">
        <f t="shared" si="3"/>
        <v>42236</v>
      </c>
      <c r="B33" s="5">
        <f>VLOOKUP(D33, Expiration!$A$1:$B$25, 2, FALSE)-A33</f>
        <v>40</v>
      </c>
      <c r="C33">
        <v>20150820</v>
      </c>
      <c r="D33" s="3" t="s">
        <v>1</v>
      </c>
      <c r="E33">
        <v>22792</v>
      </c>
      <c r="F33">
        <v>22569</v>
      </c>
      <c r="G33">
        <v>2908</v>
      </c>
      <c r="H33">
        <v>9724</v>
      </c>
      <c r="J33">
        <v>20150820</v>
      </c>
      <c r="K33">
        <v>22400</v>
      </c>
      <c r="L33">
        <v>1441</v>
      </c>
      <c r="M33">
        <v>22600</v>
      </c>
      <c r="N33">
        <v>1424</v>
      </c>
      <c r="O33" s="7">
        <f t="shared" si="0"/>
        <v>1438.365</v>
      </c>
      <c r="Q33" s="6">
        <f t="shared" si="1"/>
        <v>0.24064854476562647</v>
      </c>
      <c r="S33">
        <v>20150820</v>
      </c>
      <c r="T33">
        <v>24000</v>
      </c>
      <c r="U33">
        <v>198</v>
      </c>
      <c r="V33" s="6">
        <f>qlBlackFormulaImpliedStdDev("Call", T33, F33, U33, 1, 0, 0.3)/SQRT(B33/365)</f>
        <v>0.22447522175662368</v>
      </c>
      <c r="X33">
        <v>20150820</v>
      </c>
      <c r="Y33">
        <v>21200</v>
      </c>
      <c r="Z33">
        <v>284</v>
      </c>
      <c r="AA33" s="6">
        <v>0.27214773506223128</v>
      </c>
    </row>
    <row r="34" spans="1:27">
      <c r="A34" s="4">
        <f t="shared" si="3"/>
        <v>42237</v>
      </c>
      <c r="B34" s="5">
        <f>VLOOKUP(D34, Expiration!$A$1:$B$25, 2, FALSE)-A34</f>
        <v>39</v>
      </c>
      <c r="C34">
        <v>20150821</v>
      </c>
      <c r="D34" s="3" t="s">
        <v>1</v>
      </c>
      <c r="E34">
        <v>22220</v>
      </c>
      <c r="F34">
        <v>22363</v>
      </c>
      <c r="G34">
        <v>4656</v>
      </c>
      <c r="H34">
        <v>11520</v>
      </c>
      <c r="J34">
        <v>20150821</v>
      </c>
      <c r="K34">
        <v>22200</v>
      </c>
      <c r="L34">
        <v>1545</v>
      </c>
      <c r="M34">
        <v>22400</v>
      </c>
      <c r="N34">
        <v>1535</v>
      </c>
      <c r="O34" s="7">
        <f t="shared" si="0"/>
        <v>1543.15</v>
      </c>
      <c r="Q34" s="6">
        <f t="shared" si="1"/>
        <v>0.26387741507073831</v>
      </c>
      <c r="S34">
        <v>20150821</v>
      </c>
      <c r="T34">
        <v>23800</v>
      </c>
      <c r="U34">
        <v>230</v>
      </c>
      <c r="V34" s="6">
        <f>qlBlackFormulaImpliedStdDev("Call", T34, F34, U34, 1, 0, 0.3)/SQRT(B34/365)</f>
        <v>0.24460805984641562</v>
      </c>
      <c r="X34">
        <v>20150821</v>
      </c>
      <c r="Y34">
        <v>21000</v>
      </c>
      <c r="Z34">
        <v>323</v>
      </c>
      <c r="AA34" s="6">
        <v>0.29486169253140265</v>
      </c>
    </row>
    <row r="35" spans="1:27">
      <c r="A35" s="4">
        <f t="shared" si="3"/>
        <v>42240</v>
      </c>
      <c r="B35" s="5">
        <f>VLOOKUP(D35, Expiration!$A$1:$B$25, 2, FALSE)-A35</f>
        <v>36</v>
      </c>
      <c r="C35">
        <v>20150824</v>
      </c>
      <c r="D35" s="3" t="s">
        <v>1</v>
      </c>
      <c r="E35">
        <v>21600</v>
      </c>
      <c r="F35">
        <v>21014</v>
      </c>
      <c r="G35">
        <v>10564</v>
      </c>
      <c r="H35">
        <v>16899</v>
      </c>
      <c r="J35">
        <v>20150824</v>
      </c>
      <c r="K35">
        <v>21000</v>
      </c>
      <c r="L35">
        <v>1966</v>
      </c>
      <c r="M35">
        <v>21200</v>
      </c>
      <c r="N35">
        <v>1965</v>
      </c>
      <c r="O35" s="7">
        <f t="shared" si="0"/>
        <v>1965.07</v>
      </c>
      <c r="Q35" s="6">
        <f t="shared" si="1"/>
        <v>0.3721983919063761</v>
      </c>
      <c r="S35">
        <v>20150824</v>
      </c>
      <c r="T35">
        <v>22800</v>
      </c>
      <c r="U35">
        <v>285</v>
      </c>
      <c r="V35" s="6">
        <f>qlBlackFormulaImpliedStdDev("Call", T35, F35, U35, 1, 0, 0.3)/SQRT(B35/365)</f>
        <v>0.33310942472984528</v>
      </c>
      <c r="X35">
        <v>20150824</v>
      </c>
      <c r="Y35">
        <v>19200</v>
      </c>
      <c r="Z35">
        <v>433</v>
      </c>
      <c r="AA35" s="6">
        <v>0.44230471560428719</v>
      </c>
    </row>
    <row r="36" spans="1:27">
      <c r="A36" s="4">
        <f t="shared" si="3"/>
        <v>42241</v>
      </c>
      <c r="B36" s="5">
        <f>VLOOKUP(D36, Expiration!$A$1:$B$25, 2, FALSE)-A36</f>
        <v>35</v>
      </c>
      <c r="C36">
        <v>20150825</v>
      </c>
      <c r="D36" s="3" t="s">
        <v>1</v>
      </c>
      <c r="E36">
        <v>20670</v>
      </c>
      <c r="F36">
        <v>21475</v>
      </c>
      <c r="G36">
        <v>38833</v>
      </c>
      <c r="H36">
        <v>39066</v>
      </c>
      <c r="J36">
        <v>20150825</v>
      </c>
      <c r="K36">
        <v>21400</v>
      </c>
      <c r="L36">
        <v>1875</v>
      </c>
      <c r="M36">
        <v>21600</v>
      </c>
      <c r="N36">
        <v>1821</v>
      </c>
      <c r="O36" s="7">
        <f t="shared" si="0"/>
        <v>1841.25</v>
      </c>
      <c r="Q36" s="6">
        <f t="shared" si="1"/>
        <v>0.34610032762740367</v>
      </c>
      <c r="S36">
        <v>20150825</v>
      </c>
      <c r="T36">
        <v>23200</v>
      </c>
      <c r="U36">
        <v>255</v>
      </c>
      <c r="V36" s="6">
        <f>qlBlackFormulaImpliedStdDev("Call", T36, F36, U36, 1, 0, 0.3)/SQRT(B36/365)</f>
        <v>0.30990272985844208</v>
      </c>
      <c r="X36">
        <v>20150825</v>
      </c>
      <c r="Y36">
        <v>19600</v>
      </c>
      <c r="Z36">
        <v>388</v>
      </c>
      <c r="AA36" s="6">
        <v>0.42443768493951645</v>
      </c>
    </row>
    <row r="37" spans="1:27">
      <c r="A37" s="4">
        <f t="shared" si="3"/>
        <v>42242</v>
      </c>
      <c r="B37" s="5">
        <f>VLOOKUP(D37, Expiration!$A$1:$B$25, 2, FALSE)-A37</f>
        <v>34</v>
      </c>
      <c r="C37">
        <v>20150826</v>
      </c>
      <c r="D37" s="3" t="s">
        <v>1</v>
      </c>
      <c r="E37">
        <v>21288</v>
      </c>
      <c r="F37">
        <v>21018</v>
      </c>
      <c r="G37">
        <v>55478</v>
      </c>
      <c r="H37">
        <v>72734</v>
      </c>
      <c r="J37">
        <v>20150826</v>
      </c>
      <c r="K37">
        <v>21000</v>
      </c>
      <c r="L37">
        <v>1712</v>
      </c>
      <c r="M37">
        <v>21200</v>
      </c>
      <c r="N37">
        <v>1700</v>
      </c>
      <c r="O37" s="7">
        <f t="shared" si="0"/>
        <v>1701.08</v>
      </c>
      <c r="Q37" s="6">
        <f t="shared" si="1"/>
        <v>0.33147466282421956</v>
      </c>
      <c r="S37">
        <v>20150826</v>
      </c>
      <c r="T37">
        <v>22600</v>
      </c>
      <c r="U37">
        <v>253</v>
      </c>
      <c r="V37" s="6">
        <f>qlBlackFormulaImpliedStdDev("Call", T37, F37, U37, 1, 0, 0.3)/SQRT(B37/365)</f>
        <v>0.30519819500928208</v>
      </c>
      <c r="X37">
        <v>20150826</v>
      </c>
      <c r="Y37">
        <v>19400</v>
      </c>
      <c r="Z37">
        <v>389</v>
      </c>
      <c r="AA37" s="6">
        <v>0.40517794919701555</v>
      </c>
    </row>
    <row r="38" spans="1:27">
      <c r="A38" s="4">
        <f t="shared" si="3"/>
        <v>42243</v>
      </c>
      <c r="B38" s="5">
        <f>VLOOKUP(D38, Expiration!$A$1:$B$25, 2, FALSE)-A38</f>
        <v>33</v>
      </c>
      <c r="C38">
        <v>20150827</v>
      </c>
      <c r="D38" s="3" t="s">
        <v>1</v>
      </c>
      <c r="E38">
        <v>21545</v>
      </c>
      <c r="F38">
        <v>21698</v>
      </c>
      <c r="G38">
        <v>52474</v>
      </c>
      <c r="H38">
        <v>88375</v>
      </c>
      <c r="J38">
        <v>20150827</v>
      </c>
      <c r="K38">
        <v>21600</v>
      </c>
      <c r="L38">
        <v>1550</v>
      </c>
      <c r="M38">
        <v>21800</v>
      </c>
      <c r="N38">
        <v>1550</v>
      </c>
      <c r="O38" s="7">
        <f t="shared" si="0"/>
        <v>1550</v>
      </c>
      <c r="Q38" s="6">
        <f t="shared" si="1"/>
        <v>0.29696924073344272</v>
      </c>
      <c r="S38">
        <v>20150827</v>
      </c>
      <c r="T38">
        <v>23200</v>
      </c>
      <c r="U38">
        <v>220</v>
      </c>
      <c r="V38" s="6">
        <f>qlBlackFormulaImpliedStdDev("Call", T38, F38, U38, 1, 0, 0.3)/SQRT(B38/365)</f>
        <v>0.2754078940710159</v>
      </c>
      <c r="X38">
        <v>20150827</v>
      </c>
      <c r="Y38">
        <v>20200</v>
      </c>
      <c r="Z38">
        <v>320</v>
      </c>
      <c r="AA38" s="6">
        <v>0.34724209701722891</v>
      </c>
    </row>
    <row r="39" spans="1:27">
      <c r="A39" s="4">
        <f t="shared" si="3"/>
        <v>42244</v>
      </c>
      <c r="B39" s="5">
        <f>VLOOKUP(D39, Expiration!$A$1:$B$25, 2, FALSE)-A39</f>
        <v>32</v>
      </c>
      <c r="C39">
        <v>20150828</v>
      </c>
      <c r="D39" s="3" t="s">
        <v>1</v>
      </c>
      <c r="E39">
        <v>22148</v>
      </c>
      <c r="F39">
        <v>21536</v>
      </c>
      <c r="G39">
        <v>67929</v>
      </c>
      <c r="H39">
        <v>95236</v>
      </c>
      <c r="J39">
        <v>20150828</v>
      </c>
      <c r="K39">
        <v>21400</v>
      </c>
      <c r="L39">
        <v>1601</v>
      </c>
      <c r="M39">
        <v>21600</v>
      </c>
      <c r="N39">
        <v>1569</v>
      </c>
      <c r="O39" s="7">
        <f t="shared" si="0"/>
        <v>1590.76</v>
      </c>
      <c r="Q39" s="6">
        <f t="shared" si="1"/>
        <v>0.31183228390158407</v>
      </c>
      <c r="S39">
        <v>20150828</v>
      </c>
      <c r="T39">
        <v>23000</v>
      </c>
      <c r="U39">
        <v>222</v>
      </c>
      <c r="V39" s="6">
        <f>qlBlackFormulaImpliedStdDev("Call", T39, F39, U39, 1, 0, 0.3)/SQRT(B39/365)</f>
        <v>0.27878628047065984</v>
      </c>
      <c r="X39">
        <v>20150828</v>
      </c>
      <c r="Y39">
        <v>20000</v>
      </c>
      <c r="Z39">
        <v>355</v>
      </c>
      <c r="AA39" s="6">
        <v>0.37851484660077855</v>
      </c>
    </row>
    <row r="40" spans="1:27">
      <c r="A40" s="4">
        <f t="shared" si="3"/>
        <v>42247</v>
      </c>
      <c r="B40" s="5">
        <f>VLOOKUP(D40, Expiration!$A$1:$B$25, 2, FALSE)-A40</f>
        <v>29</v>
      </c>
      <c r="C40">
        <v>20150831</v>
      </c>
      <c r="D40" s="3" t="s">
        <v>1</v>
      </c>
      <c r="E40">
        <v>21468</v>
      </c>
      <c r="F40">
        <v>21464</v>
      </c>
      <c r="G40">
        <v>65708</v>
      </c>
      <c r="H40">
        <v>95780</v>
      </c>
      <c r="J40">
        <v>20150831</v>
      </c>
      <c r="K40">
        <v>21400</v>
      </c>
      <c r="L40">
        <v>1616</v>
      </c>
      <c r="M40">
        <v>21600</v>
      </c>
      <c r="N40">
        <v>1590</v>
      </c>
      <c r="O40" s="7">
        <f t="shared" si="0"/>
        <v>1598.32</v>
      </c>
      <c r="Q40" s="6">
        <f t="shared" si="1"/>
        <v>0.33022543466576526</v>
      </c>
      <c r="S40">
        <v>20150831</v>
      </c>
      <c r="T40">
        <v>23000</v>
      </c>
      <c r="U40">
        <v>224</v>
      </c>
      <c r="V40" s="6">
        <f>qlBlackFormulaImpliedStdDev("Call", T40, F40, U40, 1, 0, 0.3)/SQRT(B40/365)</f>
        <v>0.30283971702601642</v>
      </c>
      <c r="X40">
        <v>20150831</v>
      </c>
      <c r="Y40">
        <v>20000</v>
      </c>
      <c r="Z40">
        <v>385</v>
      </c>
      <c r="AA40" s="6">
        <v>0.40420351255679721</v>
      </c>
    </row>
    <row r="41" spans="1:27">
      <c r="A41" s="4">
        <f t="shared" si="3"/>
        <v>42248</v>
      </c>
      <c r="B41" s="5">
        <f>VLOOKUP(D41, Expiration!$A$1:$B$25, 2, FALSE)-A41</f>
        <v>28</v>
      </c>
      <c r="C41">
        <v>20150901</v>
      </c>
      <c r="D41" s="3" t="s">
        <v>1</v>
      </c>
      <c r="E41">
        <v>21337</v>
      </c>
      <c r="F41">
        <v>20879</v>
      </c>
      <c r="G41">
        <v>63669</v>
      </c>
      <c r="H41">
        <v>97832</v>
      </c>
      <c r="J41">
        <v>20150901</v>
      </c>
      <c r="K41">
        <v>20800</v>
      </c>
      <c r="L41">
        <v>1747</v>
      </c>
      <c r="M41">
        <v>21000</v>
      </c>
      <c r="N41">
        <v>1705</v>
      </c>
      <c r="O41" s="7">
        <f t="shared" si="0"/>
        <v>1721.59</v>
      </c>
      <c r="Q41" s="6">
        <f t="shared" si="1"/>
        <v>0.37213238524187647</v>
      </c>
      <c r="S41">
        <v>20150901</v>
      </c>
      <c r="T41">
        <v>22600</v>
      </c>
      <c r="U41">
        <v>181</v>
      </c>
      <c r="V41" s="6">
        <f>qlBlackFormulaImpliedStdDev("Call", T41, F41, U41, 1, 0, 0.3)/SQRT(B41/365)</f>
        <v>0.31088300713431949</v>
      </c>
      <c r="X41">
        <v>20150901</v>
      </c>
      <c r="Y41">
        <v>19200</v>
      </c>
      <c r="Z41">
        <v>391</v>
      </c>
      <c r="AA41" s="6">
        <v>0.46018713238386688</v>
      </c>
    </row>
    <row r="42" spans="1:27">
      <c r="A42" s="4">
        <f t="shared" si="3"/>
        <v>42249</v>
      </c>
      <c r="B42" s="5">
        <f>VLOOKUP(D42, Expiration!$A$1:$B$25, 2, FALSE)-A42</f>
        <v>27</v>
      </c>
      <c r="C42">
        <v>20150902</v>
      </c>
      <c r="D42" s="3" t="s">
        <v>1</v>
      </c>
      <c r="E42">
        <v>20798</v>
      </c>
      <c r="F42">
        <v>20699</v>
      </c>
      <c r="G42">
        <v>77768</v>
      </c>
      <c r="H42">
        <v>100053</v>
      </c>
      <c r="J42">
        <v>20150902</v>
      </c>
      <c r="K42">
        <v>20600</v>
      </c>
      <c r="L42">
        <v>1763</v>
      </c>
      <c r="M42">
        <v>20800</v>
      </c>
      <c r="N42">
        <v>1718</v>
      </c>
      <c r="O42" s="7">
        <f t="shared" si="0"/>
        <v>1740.2750000000001</v>
      </c>
      <c r="Q42" s="6">
        <f t="shared" si="1"/>
        <v>0.38640530474307561</v>
      </c>
      <c r="S42">
        <v>20150902</v>
      </c>
      <c r="T42">
        <v>22400</v>
      </c>
      <c r="U42">
        <v>199</v>
      </c>
      <c r="V42" s="6">
        <f>qlBlackFormulaImpliedStdDev("Call", T42, F42, U42, 1, 0, 0.3)/SQRT(B42/365)</f>
        <v>0.32859714499145476</v>
      </c>
      <c r="X42">
        <v>20150902</v>
      </c>
      <c r="Y42">
        <v>19000</v>
      </c>
      <c r="Z42">
        <v>408</v>
      </c>
      <c r="AA42" s="6">
        <v>0.48589633310073488</v>
      </c>
    </row>
    <row r="43" spans="1:27">
      <c r="A43" s="4">
        <f t="shared" si="3"/>
        <v>42251</v>
      </c>
      <c r="B43" s="5">
        <f>VLOOKUP(D43, Expiration!$A$1:$B$25, 2, FALSE)-A43</f>
        <v>25</v>
      </c>
      <c r="C43">
        <v>20150904</v>
      </c>
      <c r="D43" s="3" t="s">
        <v>1</v>
      </c>
      <c r="E43">
        <v>20847</v>
      </c>
      <c r="F43">
        <v>20612</v>
      </c>
      <c r="G43">
        <v>53073</v>
      </c>
      <c r="H43">
        <v>100107</v>
      </c>
      <c r="J43">
        <v>20150904</v>
      </c>
      <c r="K43">
        <v>20600</v>
      </c>
      <c r="L43">
        <v>1678</v>
      </c>
      <c r="M43">
        <v>20800</v>
      </c>
      <c r="N43">
        <v>1651</v>
      </c>
      <c r="O43" s="7">
        <f t="shared" si="0"/>
        <v>1652.62</v>
      </c>
      <c r="Q43" s="6">
        <f t="shared" si="1"/>
        <v>0.38294756413391373</v>
      </c>
      <c r="S43">
        <v>20150904</v>
      </c>
      <c r="T43">
        <v>22200</v>
      </c>
      <c r="U43">
        <v>188</v>
      </c>
      <c r="V43" s="6">
        <f>qlBlackFormulaImpliedStdDev("Call", T43, F43, U43, 1, 0, 0.3)/SQRT(B43/365)</f>
        <v>0.3223752107189104</v>
      </c>
      <c r="X43">
        <v>20150904</v>
      </c>
      <c r="Y43">
        <v>19000</v>
      </c>
      <c r="Z43">
        <v>393</v>
      </c>
      <c r="AA43" s="6">
        <v>0.48360995980155397</v>
      </c>
    </row>
    <row r="44" spans="1:27">
      <c r="A44" s="4">
        <f t="shared" si="3"/>
        <v>42254</v>
      </c>
      <c r="B44" s="5">
        <f>VLOOKUP(D44, Expiration!$A$1:$B$25, 2, FALSE)-A44</f>
        <v>22</v>
      </c>
      <c r="C44">
        <v>20150907</v>
      </c>
      <c r="D44" s="3" t="s">
        <v>1</v>
      </c>
      <c r="E44">
        <v>20404</v>
      </c>
      <c r="F44">
        <v>20427</v>
      </c>
      <c r="G44">
        <v>65178</v>
      </c>
      <c r="H44">
        <v>101324</v>
      </c>
      <c r="J44">
        <v>20150907</v>
      </c>
      <c r="K44">
        <f>ROUNDDOWN($F44/200, 0)*200</f>
        <v>20400</v>
      </c>
      <c r="L44">
        <f>GetData("select cl_t from hkex.historical_px where date = '"&amp;$C44&amp;"' and month = '"&amp;$D44&amp;"' and type = 'C' and strike  = " &amp; ROUNDDOWN($F44/200, 0)*200)+GetData("select cl_t from hkex.historical_px where date = '"&amp;$C44&amp;"' and month = '"&amp;$D44&amp;"' and type = 'P' and strike  = " &amp; ROUNDDOWN($F44/200, 0)*200)</f>
        <v>1630</v>
      </c>
      <c r="M44">
        <v>20600</v>
      </c>
      <c r="N44">
        <v>1581</v>
      </c>
      <c r="O44" s="7">
        <f t="shared" si="0"/>
        <v>1587.615</v>
      </c>
      <c r="Q44" s="6">
        <f t="shared" si="1"/>
        <v>0.3957179125391137</v>
      </c>
      <c r="S44">
        <v>20150907</v>
      </c>
      <c r="T44">
        <v>22000</v>
      </c>
      <c r="U44">
        <v>169</v>
      </c>
      <c r="V44" s="6">
        <f>qlBlackFormulaImpliedStdDev("Call", T44, F44, U44, 1, 0, 0.3)/SQRT(B44/365)</f>
        <v>0.33109236385684326</v>
      </c>
      <c r="X44">
        <v>20150907</v>
      </c>
      <c r="Y44">
        <v>18800</v>
      </c>
      <c r="Z44">
        <v>356</v>
      </c>
      <c r="AA44" s="6">
        <v>0.49906775627248762</v>
      </c>
    </row>
    <row r="45" spans="1:27">
      <c r="A45" s="4">
        <f t="shared" ref="A45:A46" si="4">DATE(LEFT(C45, 4), MID(C45, 5, 2), RIGHT(C45, 2))</f>
        <v>42255</v>
      </c>
      <c r="B45" s="5">
        <f>VLOOKUP(D45, Expiration!$A$1:$B$25, 2, FALSE)-A45</f>
        <v>21</v>
      </c>
      <c r="C45">
        <v>20150908</v>
      </c>
      <c r="D45" s="3" t="s">
        <v>1</v>
      </c>
      <c r="E45">
        <v>20550</v>
      </c>
      <c r="F45">
        <v>21304</v>
      </c>
      <c r="G45">
        <v>78912</v>
      </c>
      <c r="H45">
        <v>102030</v>
      </c>
      <c r="J45">
        <v>20150908</v>
      </c>
      <c r="K45">
        <f>ROUNDDOWN($F45/200, 0)*200</f>
        <v>21200</v>
      </c>
      <c r="L45">
        <f>GetData("select cl_t from hkex.historical_px where date = '"&amp;$C45&amp;"' and month = '"&amp;$D45&amp;"' and type = 'C' and strike  = " &amp; ROUNDDOWN($F45/200, 0)*200)+GetData("select cl_t from hkex.historical_px where date = '"&amp;$C45&amp;"' and month = '"&amp;$D45&amp;"' and type = 'P' and strike  = " &amp; ROUNDDOWN($F45/200, 0)*200)</f>
        <v>1294</v>
      </c>
      <c r="M45">
        <v>21400</v>
      </c>
      <c r="N45">
        <v>1238</v>
      </c>
      <c r="O45" s="7">
        <f t="shared" si="0"/>
        <v>1267.1199999999999</v>
      </c>
      <c r="Q45" s="6">
        <f t="shared" si="1"/>
        <v>0.30995838560560435</v>
      </c>
      <c r="S45">
        <v>20150908</v>
      </c>
      <c r="T45">
        <v>22400</v>
      </c>
      <c r="U45">
        <v>194</v>
      </c>
      <c r="V45" s="6">
        <f>qlBlackFormulaImpliedStdDev("Call", T45, F45, U45, 1, 0, 0.3)/SQRT(B45/365)</f>
        <v>0.28038152628540652</v>
      </c>
      <c r="X45">
        <v>20150908</v>
      </c>
      <c r="Y45">
        <v>20200</v>
      </c>
      <c r="Z45">
        <v>297</v>
      </c>
      <c r="AA45" s="6">
        <v>0.36176705204640586</v>
      </c>
    </row>
    <row r="46" spans="1:27">
      <c r="A46" s="4">
        <f t="shared" si="4"/>
        <v>42256</v>
      </c>
      <c r="B46" s="5">
        <f>VLOOKUP(D46, Expiration!$A$1:$B$25, 2, FALSE)-A46</f>
        <v>20</v>
      </c>
      <c r="C46">
        <v>20150909</v>
      </c>
      <c r="D46" s="3" t="s">
        <v>1</v>
      </c>
      <c r="E46">
        <v>21500</v>
      </c>
      <c r="F46">
        <v>21971</v>
      </c>
      <c r="G46">
        <v>98520</v>
      </c>
      <c r="H46">
        <v>101856</v>
      </c>
      <c r="J46">
        <v>20150909</v>
      </c>
      <c r="K46">
        <v>21800</v>
      </c>
      <c r="L46">
        <v>1191</v>
      </c>
      <c r="M46">
        <v>22000</v>
      </c>
      <c r="N46">
        <v>1174</v>
      </c>
      <c r="O46" s="7">
        <v>1188.5350000000001</v>
      </c>
      <c r="Q46" s="6">
        <v>0.28887076974878739</v>
      </c>
      <c r="S46">
        <v>20150909</v>
      </c>
      <c r="T46">
        <v>23000</v>
      </c>
      <c r="U46">
        <v>193</v>
      </c>
      <c r="V46" s="6">
        <v>0.26891285452254954</v>
      </c>
      <c r="X46">
        <v>20150909</v>
      </c>
      <c r="Y46">
        <v>20800</v>
      </c>
      <c r="Z46">
        <v>234</v>
      </c>
      <c r="AA46" s="6">
        <v>0.3311209328347145</v>
      </c>
    </row>
    <row r="47" spans="1:27">
      <c r="A47" s="4">
        <f t="shared" ref="A47" si="5">DATE(LEFT(C47, 4), MID(C47, 5, 2), RIGHT(C47, 2))</f>
        <v>42257</v>
      </c>
      <c r="B47" s="5">
        <f>VLOOKUP(D47, Expiration!$A$1:$B$25, 2, FALSE)-A47</f>
        <v>19</v>
      </c>
      <c r="C47">
        <v>20150910</v>
      </c>
      <c r="D47" s="3" t="s">
        <v>1</v>
      </c>
      <c r="E47">
        <v>21577</v>
      </c>
      <c r="F47">
        <v>21474</v>
      </c>
      <c r="G47">
        <v>63073</v>
      </c>
      <c r="H47">
        <v>93536</v>
      </c>
      <c r="J47">
        <v>20150910</v>
      </c>
      <c r="K47">
        <v>21400</v>
      </c>
      <c r="L47">
        <v>1281</v>
      </c>
      <c r="M47">
        <v>21600</v>
      </c>
      <c r="N47">
        <v>1269</v>
      </c>
      <c r="O47" s="7">
        <v>1273.44</v>
      </c>
      <c r="Q47" s="6">
        <v>0.32489661257542179</v>
      </c>
      <c r="S47">
        <v>20150910</v>
      </c>
      <c r="T47">
        <v>22600</v>
      </c>
      <c r="U47">
        <v>192</v>
      </c>
      <c r="V47" s="6">
        <v>0.29546019205818297</v>
      </c>
      <c r="X47">
        <v>20150910</v>
      </c>
      <c r="Y47">
        <v>20200</v>
      </c>
      <c r="Z47">
        <v>268</v>
      </c>
      <c r="AA47" s="6">
        <v>0.38842177937539896</v>
      </c>
    </row>
    <row r="48" spans="1:27">
      <c r="A48" s="4">
        <f t="shared" ref="A48:A50" si="6">DATE(LEFT(C48, 4), MID(C48, 5, 2), RIGHT(C48, 2))</f>
        <v>42258</v>
      </c>
      <c r="B48" s="5">
        <f>VLOOKUP(D48, Expiration!$A$1:$B$25, 2, FALSE)-A48</f>
        <v>18</v>
      </c>
      <c r="C48">
        <v>20150911</v>
      </c>
      <c r="D48" s="3" t="s">
        <v>1</v>
      </c>
      <c r="E48">
        <v>21650</v>
      </c>
      <c r="F48">
        <v>21375</v>
      </c>
      <c r="G48">
        <v>62419</v>
      </c>
      <c r="H48">
        <v>93231</v>
      </c>
      <c r="J48">
        <v>20150911</v>
      </c>
      <c r="K48">
        <v>21200</v>
      </c>
      <c r="L48">
        <v>1255</v>
      </c>
      <c r="M48">
        <v>21400</v>
      </c>
      <c r="N48">
        <v>1227</v>
      </c>
      <c r="O48" s="7">
        <v>1251.5</v>
      </c>
      <c r="Q48" s="6">
        <v>0.32956791406943525</v>
      </c>
      <c r="S48">
        <v>20150911</v>
      </c>
      <c r="T48">
        <v>22600</v>
      </c>
      <c r="U48">
        <v>160</v>
      </c>
      <c r="V48" s="6">
        <v>0.29639803098167827</v>
      </c>
      <c r="X48">
        <v>20150911</v>
      </c>
      <c r="Y48">
        <v>20200</v>
      </c>
      <c r="Z48">
        <v>265</v>
      </c>
      <c r="AA48" s="6">
        <v>0.38110527301114422</v>
      </c>
    </row>
    <row r="49" spans="1:27">
      <c r="A49" s="4">
        <f t="shared" si="6"/>
        <v>42261</v>
      </c>
      <c r="B49" s="5">
        <f>VLOOKUP(D49, Expiration!$A$1:$B$25, 2, FALSE)-A49</f>
        <v>15</v>
      </c>
      <c r="C49">
        <v>20150914</v>
      </c>
      <c r="D49" s="3" t="s">
        <v>1</v>
      </c>
      <c r="E49">
        <f t="shared" ref="E48:E50" si="7">GetData("select op_t from hkex.historical_px where date = '"&amp;$C49&amp;"' and month = '"&amp;$D49&amp;"' and strike  = 0")</f>
        <v>21620</v>
      </c>
      <c r="F49">
        <f t="shared" ref="F48:F50" si="8">GetData("select cl_t from hkex.historical_px where date = '"&amp;$C49&amp;"' and month = '"&amp;$D49&amp;"' and strike  = 0")</f>
        <v>21474</v>
      </c>
      <c r="G49">
        <f t="shared" ref="G48:G50" si="9">GetData("select vol_t from hkex.historical_px where date = '"&amp;$C49&amp;"' and month = '"&amp;$D49&amp;"' and strike  = 0")</f>
        <v>60369</v>
      </c>
      <c r="H49">
        <f t="shared" ref="H48:H50" si="10">GetData("select oi from hkex.historical_px where date = '"&amp;$C49&amp;"' and month = '"&amp;$D49&amp;"' and strike  = 0")</f>
        <v>94074</v>
      </c>
      <c r="J49">
        <f t="shared" ref="J48:J50" si="11">C49</f>
        <v>20150914</v>
      </c>
      <c r="K49">
        <f t="shared" ref="K48:K50" si="12">ROUNDDOWN($F49/200, 0)*200</f>
        <v>21400</v>
      </c>
      <c r="L49">
        <f>GetData("select cl_t from hkex.historical_px where date = '"&amp;$C49&amp;"' and month = '"&amp;$D49&amp;"' and type = 'C' and strike  = " &amp; $K49)+GetData("select cl_t from hkex.historical_px where date = '"&amp;$C49&amp;"' and month = '"&amp;$D49&amp;"' and type = 'P' and strike  = " &amp; $K49)</f>
        <v>1148</v>
      </c>
      <c r="M49">
        <f t="shared" ref="M48:M50" si="13">K49+200</f>
        <v>21600</v>
      </c>
      <c r="N49">
        <f>GetData("select cl_t from hkex.historical_px where date = '"&amp;$C49&amp;"' and month = '"&amp;$D49&amp;"' and type = 'C' and strike  = " &amp; $M49)+GetData("select cl_t from hkex.historical_px where date = '"&amp;$C49&amp;"' and month = '"&amp;$D49&amp;"' and type = 'P' and strike  = " &amp; $M49)</f>
        <v>1110</v>
      </c>
      <c r="O49" s="7">
        <f t="shared" ref="O48:O50" si="14">((M49-F49)*N49+(F49-K49)*L49)/200</f>
        <v>1124.06</v>
      </c>
      <c r="Q49" s="6">
        <f t="shared" ref="Q48:Q50" si="15">O49/0.8/F49/SQRT(B49/365)</f>
        <v>0.32276568817029899</v>
      </c>
      <c r="S49">
        <f t="shared" ref="S48:S50" si="16">C49</f>
        <v>20150914</v>
      </c>
      <c r="T49">
        <f t="shared" ref="T48:T50" si="17">ROUNDDOWN((F49+L49)/200, 0)*200</f>
        <v>22600</v>
      </c>
      <c r="U49">
        <f t="shared" ref="U48:U50" si="18">GetData("select cl_t from hkex.historical_px where date = '"&amp;$C49&amp;"' and month = '"&amp;$D49&amp;"' and type = 'C' and strike  = " &amp; $T49)</f>
        <v>142</v>
      </c>
      <c r="V49" s="6">
        <f>qlBlackFormulaImpliedStdDev("Call", T49, F49, U49, 1, 0, 0.3)/SQRT(B49/365)</f>
        <v>0.29366236666717305</v>
      </c>
      <c r="X49">
        <f t="shared" ref="X48:X50" si="19">C49</f>
        <v>20150914</v>
      </c>
      <c r="Y49">
        <f t="shared" ref="Y48:Y50" si="20">ROUNDUP((F49-L49)/200, 0)*200</f>
        <v>20400</v>
      </c>
      <c r="Z49">
        <f t="shared" ref="Z48:Z50" si="21">GetData("select cl_t from hkex.historical_px where date = '"&amp;$C49&amp;"' and month = '"&amp;$D49&amp;"' and type = 'P' and strike  = " &amp; $Y49)</f>
        <v>233</v>
      </c>
      <c r="AA49" s="6">
        <f>qlBlackFormulaImpliedStdDev("Put", Y49, F49, Z49, 1, 0, 0.3)/SQRT(B49/365)</f>
        <v>0.37198867682948322</v>
      </c>
    </row>
    <row r="50" spans="1:27">
      <c r="A50" s="4">
        <f t="shared" si="6"/>
        <v>42262</v>
      </c>
      <c r="B50" s="5">
        <f>VLOOKUP(D50, Expiration!$A$1:$B$25, 2, FALSE)-A50</f>
        <v>14</v>
      </c>
      <c r="C50">
        <v>20150915</v>
      </c>
      <c r="D50" s="3" t="s">
        <v>1</v>
      </c>
      <c r="E50">
        <f t="shared" si="7"/>
        <v>21480</v>
      </c>
      <c r="F50">
        <f t="shared" si="8"/>
        <v>21333</v>
      </c>
      <c r="G50">
        <f t="shared" si="9"/>
        <v>49040</v>
      </c>
      <c r="H50">
        <f t="shared" si="10"/>
        <v>92706</v>
      </c>
      <c r="J50">
        <f t="shared" si="11"/>
        <v>20150915</v>
      </c>
      <c r="K50">
        <f t="shared" si="12"/>
        <v>21200</v>
      </c>
      <c r="L50">
        <f>GetData("select cl_t from hkex.historical_px where date = '"&amp;$C50&amp;"' and month = '"&amp;$D50&amp;"' and type = 'C' and strike  = " &amp; $K50)+GetData("select cl_t from hkex.historical_px where date = '"&amp;$C50&amp;"' and month = '"&amp;$D50&amp;"' and type = 'P' and strike  = " &amp; $K50)</f>
        <v>1134</v>
      </c>
      <c r="M50">
        <f t="shared" si="13"/>
        <v>21400</v>
      </c>
      <c r="N50">
        <f>GetData("select cl_t from hkex.historical_px where date = '"&amp;$C50&amp;"' and month = '"&amp;$D50&amp;"' and type = 'C' and strike  = " &amp; $M50)+GetData("select cl_t from hkex.historical_px where date = '"&amp;$C50&amp;"' and month = '"&amp;$D50&amp;"' and type = 'P' and strike  = " &amp; $M50)</f>
        <v>1101</v>
      </c>
      <c r="O50" s="7">
        <f t="shared" si="14"/>
        <v>1122.9449999999999</v>
      </c>
      <c r="Q50" s="6">
        <f t="shared" si="15"/>
        <v>0.33596882445896775</v>
      </c>
      <c r="S50">
        <f t="shared" si="16"/>
        <v>20150915</v>
      </c>
      <c r="T50">
        <f t="shared" si="17"/>
        <v>22400</v>
      </c>
      <c r="U50">
        <f t="shared" si="18"/>
        <v>147</v>
      </c>
      <c r="V50" s="6">
        <f>qlBlackFormulaImpliedStdDev("Call", T50, F50, U50, 1, 0, 0.3)/SQRT(B50/365)</f>
        <v>0.30067876465406052</v>
      </c>
      <c r="X50">
        <f t="shared" si="19"/>
        <v>20150915</v>
      </c>
      <c r="Y50">
        <f t="shared" si="20"/>
        <v>20200</v>
      </c>
      <c r="Z50">
        <f t="shared" si="21"/>
        <v>222</v>
      </c>
      <c r="AA50" s="6">
        <f>qlBlackFormulaImpliedStdDev("Put", Y50, F50, Z50, 1, 0, 0.3)/SQRT(B50/365)</f>
        <v>0.39084070525923931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W18"/>
  <sheetViews>
    <sheetView tabSelected="1" workbookViewId="0">
      <selection activeCell="L12" sqref="L12"/>
    </sheetView>
  </sheetViews>
  <sheetFormatPr defaultRowHeight="15"/>
  <cols>
    <col min="1" max="1" width="14.85546875" bestFit="1" customWidth="1"/>
    <col min="2" max="2" width="11" customWidth="1"/>
    <col min="3" max="3" width="5" bestFit="1" customWidth="1"/>
    <col min="5" max="5" width="6.7109375" customWidth="1"/>
    <col min="6" max="6" width="5" bestFit="1" customWidth="1"/>
    <col min="7" max="7" width="6.5703125" style="19" bestFit="1" customWidth="1"/>
    <col min="8" max="8" width="4.5703125" bestFit="1" customWidth="1"/>
    <col min="9" max="9" width="5.5703125" customWidth="1"/>
    <col min="10" max="10" width="4.5703125" bestFit="1" customWidth="1"/>
    <col min="11" max="11" width="4" bestFit="1" customWidth="1"/>
    <col min="12" max="12" width="6" bestFit="1" customWidth="1"/>
    <col min="13" max="13" width="4" bestFit="1" customWidth="1"/>
    <col min="14" max="14" width="4.5703125" bestFit="1" customWidth="1"/>
    <col min="15" max="15" width="3.7109375" customWidth="1"/>
    <col min="16" max="16" width="5.28515625" bestFit="1" customWidth="1"/>
    <col min="17" max="17" width="6.5703125" bestFit="1" customWidth="1"/>
    <col min="18" max="18" width="5" bestFit="1" customWidth="1"/>
    <col min="19" max="19" width="6.28515625" bestFit="1" customWidth="1"/>
    <col min="20" max="20" width="6.5703125" bestFit="1" customWidth="1"/>
    <col min="21" max="21" width="5" bestFit="1" customWidth="1"/>
    <col min="22" max="22" width="8.7109375" bestFit="1" customWidth="1"/>
  </cols>
  <sheetData>
    <row r="1" spans="1:23">
      <c r="A1" s="13" t="s">
        <v>12</v>
      </c>
      <c r="B1" s="17">
        <v>20150915</v>
      </c>
      <c r="E1" s="35"/>
      <c r="F1" s="36"/>
      <c r="G1" s="40"/>
      <c r="H1" s="36"/>
      <c r="I1" s="36"/>
      <c r="J1" s="36"/>
      <c r="K1" s="38" t="s">
        <v>34</v>
      </c>
      <c r="L1" s="38" t="s">
        <v>7</v>
      </c>
      <c r="M1" s="39" t="s">
        <v>35</v>
      </c>
      <c r="N1" s="36"/>
      <c r="O1" s="36"/>
      <c r="P1" s="36"/>
      <c r="Q1" s="36"/>
      <c r="R1" s="36"/>
      <c r="S1" s="37"/>
      <c r="V1" t="s">
        <v>50</v>
      </c>
      <c r="W1" t="s">
        <v>51</v>
      </c>
    </row>
    <row r="2" spans="1:23">
      <c r="A2" s="14" t="s">
        <v>20</v>
      </c>
      <c r="B2" s="9" t="str">
        <f>VLOOKUP($B$1, Data!$C$1:$F$2000, 2, FALSE)</f>
        <v>SEP-15</v>
      </c>
      <c r="D2" t="s">
        <v>42</v>
      </c>
      <c r="E2" s="20"/>
      <c r="F2" s="21"/>
      <c r="G2" s="24"/>
      <c r="H2" s="21"/>
      <c r="I2" s="21"/>
      <c r="J2" s="21"/>
      <c r="K2" s="28"/>
      <c r="L2" s="28">
        <f>L3-200</f>
        <v>20200</v>
      </c>
      <c r="M2" s="21">
        <f>GetData("select cl_t from hkex.historical_px where date = '"&amp;$B$1&amp;"' and month = '"&amp;$B$2&amp;"' and type = 'P' and strike  = " &amp; $L2)</f>
        <v>222</v>
      </c>
      <c r="N2" s="22">
        <f>qlBlackFormulaImpliedStdDev("Put", $L2, $B$4, M2, 1, 0)/SQRT($B$5)</f>
        <v>0.39083494174875127</v>
      </c>
      <c r="O2" s="21" t="str">
        <f>qlBlackCalculator("Put"&amp;$L2&amp;$B$1, "Put", $L2, $B$4, N2 *SQRT($B$5), 1, FALSE)</f>
        <v>Put2020020150915#0033</v>
      </c>
      <c r="P2" s="23">
        <f>qlBlackCalculatorDelta(O2, $B$4)</f>
        <v>-0.22625739975088566</v>
      </c>
      <c r="Q2" s="24">
        <f>qlBlackCalculatorGamma(O2, $B$4)</f>
        <v>1.8424731745748132E-4</v>
      </c>
      <c r="R2" s="25">
        <f>qlBlackCalculatorVega(O2,$B$5)</f>
        <v>1256.9951307703766</v>
      </c>
      <c r="S2" s="26">
        <f>qlBlackCalculatorThetaPerDay(O2, $B$4, $B$5)</f>
        <v>-17.545629239753644</v>
      </c>
      <c r="V2" t="s">
        <v>49</v>
      </c>
      <c r="W2">
        <v>8</v>
      </c>
    </row>
    <row r="3" spans="1:23">
      <c r="A3" s="14" t="s">
        <v>14</v>
      </c>
      <c r="B3" s="10">
        <f>DATE(LEFT(B1, 4), MID(B1, 5, 2), RIGHT(B1, 2))</f>
        <v>42262</v>
      </c>
      <c r="D3" t="s">
        <v>43</v>
      </c>
      <c r="E3" s="20"/>
      <c r="F3" s="21"/>
      <c r="G3" s="24"/>
      <c r="H3" s="21"/>
      <c r="I3" s="21"/>
      <c r="J3" s="21"/>
      <c r="K3" s="28"/>
      <c r="L3" s="28">
        <f>ROUNDUP(($B$4-$B$6)/200, 0)*200</f>
        <v>20400</v>
      </c>
      <c r="M3" s="21">
        <f>GetData("select cl_t from hkex.historical_px where date = '"&amp;$B$1&amp;"' and month = '"&amp;$B$2&amp;"' and type = 'P' and strike  = " &amp; $L3)</f>
        <v>259</v>
      </c>
      <c r="N3" s="22">
        <f>qlBlackFormulaImpliedStdDev("Put", $L3, $B$4, M3, 1, 0)/SQRT($B$5)</f>
        <v>0.37824366155413175</v>
      </c>
      <c r="O3" s="21" t="str">
        <f>qlBlackCalculator("Put"&amp;$L3&amp;$B$1, "Put", $L3, $B$4, N3 *SQRT($B$5), 1, FALSE)</f>
        <v>Put2040020150915#0032</v>
      </c>
      <c r="P3" s="23">
        <f>qlBlackCalculatorDelta(O3, $B$4)</f>
        <v>-0.26084885268864166</v>
      </c>
      <c r="Q3" s="24">
        <f>qlBlackCalculatorGamma(O3, $B$4)</f>
        <v>2.0559956077846196E-4</v>
      </c>
      <c r="R3" s="25">
        <f>qlBlackCalculatorVega(O3,$B$5)</f>
        <v>1357.4782488218939</v>
      </c>
      <c r="S3" s="26">
        <f>qlBlackCalculatorThetaPerDay(O3, $B$4, $B$5)</f>
        <v>-18.337769404088728</v>
      </c>
      <c r="V3" t="s">
        <v>52</v>
      </c>
      <c r="W3">
        <v>7</v>
      </c>
    </row>
    <row r="4" spans="1:23">
      <c r="A4" s="14" t="s">
        <v>13</v>
      </c>
      <c r="B4" s="9">
        <f>VLOOKUP($B$1, Data!$C$1:$F$2000, 4, FALSE)</f>
        <v>21333</v>
      </c>
      <c r="D4" t="s">
        <v>67</v>
      </c>
      <c r="E4" s="20"/>
      <c r="F4" s="21"/>
      <c r="G4" s="24"/>
      <c r="H4" s="21"/>
      <c r="I4" s="21"/>
      <c r="J4" s="21"/>
      <c r="K4" s="28"/>
      <c r="L4" s="28">
        <f>ROUNDUP(($B$4-$B$6*2/3)/200, 0)*200</f>
        <v>20600</v>
      </c>
      <c r="M4" s="21">
        <f>GetData("select cl_t from hkex.historical_px where date = '"&amp;$B$1&amp;"' and month = '"&amp;$B$2&amp;"' and type = 'P' and strike  = " &amp; $L4)</f>
        <v>305</v>
      </c>
      <c r="N4" s="22">
        <f>qlBlackFormulaImpliedStdDev("Put", $L4, $B$4, M4, 1, 0)/SQRT($B$5)</f>
        <v>0.36749331215629799</v>
      </c>
      <c r="O4" s="21" t="str">
        <f>qlBlackCalculator("Put"&amp;$L4&amp;$B$1, "Put", $L4, $B$4, N4 *SQRT($B$5), 1, FALSE)</f>
        <v>Put2060020150915#0008</v>
      </c>
      <c r="P4" s="23">
        <f>qlBlackCalculatorDelta(O4, $B$4)</f>
        <v>-0.30091044958609636</v>
      </c>
      <c r="Q4" s="24">
        <f>qlBlackCalculatorGamma(O4, $B$4)</f>
        <v>2.2676236106099115E-4</v>
      </c>
      <c r="R4" s="25">
        <f>qlBlackCalculatorVega(O4,$B$5)</f>
        <v>1454.6531379484456</v>
      </c>
      <c r="S4" s="26">
        <f>qlBlackCalculatorThetaPerDay(O4, $B$4, $B$5)</f>
        <v>-19.091974989400924</v>
      </c>
      <c r="V4" t="s">
        <v>53</v>
      </c>
      <c r="W4">
        <v>5</v>
      </c>
    </row>
    <row r="5" spans="1:23">
      <c r="A5" s="14" t="s">
        <v>25</v>
      </c>
      <c r="B5" s="9">
        <f>(VLOOKUP($B$2,Expiration!$A$1:$B$25,2,FALSE)-$B$3)/365</f>
        <v>3.8356164383561646E-2</v>
      </c>
      <c r="D5" t="s">
        <v>38</v>
      </c>
      <c r="E5" s="27">
        <f>qlBlackCalculatorThetaPerDay(I5, $B$4, $B$5)</f>
        <v>-20.478377228192279</v>
      </c>
      <c r="F5" s="25">
        <f>qlBlackCalculatorVega(I5,$B$5)</f>
        <v>1653.5968020845764</v>
      </c>
      <c r="G5" s="24">
        <f>qlBlackCalculatorGamma(I5, $B$4)</f>
        <v>2.7319115822679169E-4</v>
      </c>
      <c r="H5" s="23">
        <f>qlBlackCalculatorDelta(I5, $B$4)</f>
        <v>0.55015234391969869</v>
      </c>
      <c r="I5" s="21" t="str">
        <f>qlBlackCalculator("Call"&amp;$L5&amp;$B$1, "Call", $L5, $B$4, J5 *SQRT($B$5), 1, FALSE)</f>
        <v>Call2120020150915#0038</v>
      </c>
      <c r="J5" s="22">
        <f>qlBlackFormulaImpliedStdDev("Call", $L5, $B$4, K5, 1, 0)/SQRT($B$5)</f>
        <v>0.34675596957283933</v>
      </c>
      <c r="K5" s="28">
        <f>GetData("select cl_t from hkex.historical_px where date = '"&amp;$B$1&amp;"' and month = '"&amp;$B$2&amp;"' and type = 'C' and strike  = " &amp; $L5)</f>
        <v>645</v>
      </c>
      <c r="L5" s="28">
        <f>ROUNDDOWN($B$4/200, 0)*200</f>
        <v>21200</v>
      </c>
      <c r="M5" s="21">
        <f>GetData("select cl_t from hkex.historical_px where date = '"&amp;$B$1&amp;"' and month = '"&amp;$B$2&amp;"' and type = 'P' and strike  = " &amp; $L5)</f>
        <v>489</v>
      </c>
      <c r="N5" s="22">
        <f>qlBlackFormulaImpliedStdDev("Put", $L5, $B$4, M5, 1, 0)/SQRT($B$5)</f>
        <v>0.33284541332451179</v>
      </c>
      <c r="O5" s="21" t="str">
        <f>qlBlackCalculator("Put"&amp;$L5&amp;$B$1, "Put", $L5, $B$4, N5 *SQRT($B$5), 1, FALSE)</f>
        <v>Put2120020150915#0035</v>
      </c>
      <c r="P5" s="23">
        <f>qlBlackCalculatorDelta(O5, $B$4)</f>
        <v>-0.44886366743646278</v>
      </c>
      <c r="Q5" s="24">
        <f>qlBlackCalculatorGamma(O5, $B$4)</f>
        <v>2.8451852554477847E-4</v>
      </c>
      <c r="R5" s="25">
        <f>qlBlackCalculatorVega(O5,$B$5)</f>
        <v>1653.0735004767214</v>
      </c>
      <c r="S5" s="26">
        <f>qlBlackCalculatorThetaPerDay(O5, $B$4, $B$5)</f>
        <v>-19.650640447213284</v>
      </c>
      <c r="V5" t="s">
        <v>54</v>
      </c>
      <c r="W5">
        <v>4</v>
      </c>
    </row>
    <row r="6" spans="1:23">
      <c r="A6" s="14" t="s">
        <v>26</v>
      </c>
      <c r="B6" s="11">
        <f>VLOOKUP($B$1, Data!$J$1:$O$2000, 6, FALSE)</f>
        <v>1122.9449999999999</v>
      </c>
      <c r="D6" t="s">
        <v>39</v>
      </c>
      <c r="E6" s="27">
        <f>qlBlackCalculatorThetaPerDay(I6, $B$4, $B$5)</f>
        <v>-19.893602392915835</v>
      </c>
      <c r="F6" s="25">
        <f>qlBlackCalculatorVega(I6,$B$5)</f>
        <v>1666.5930666009549</v>
      </c>
      <c r="G6" s="24">
        <f>qlBlackCalculatorGamma(I6, $B$4)</f>
        <v>2.8565947822443456E-4</v>
      </c>
      <c r="H6" s="23">
        <f>qlBlackCalculatorDelta(I6, $B$4)</f>
        <v>0.49394572291069583</v>
      </c>
      <c r="I6" s="21" t="str">
        <f>qlBlackCalculator("Call"&amp;$L6&amp;$B$1, "Call", $L6, $B$4, J6 *SQRT($B$5), 1, FALSE)</f>
        <v>Call2140020150915#0033</v>
      </c>
      <c r="J6" s="22">
        <f>qlBlackFormulaImpliedStdDev("Call", $L6, $B$4, K6, 1, 0)/SQRT($B$5)</f>
        <v>0.33422727969083488</v>
      </c>
      <c r="K6" s="28">
        <f>GetData("select cl_t from hkex.historical_px where date = '"&amp;$B$1&amp;"' and month = '"&amp;$B$2&amp;"' and type = 'C' and strike  = " &amp; $L6)</f>
        <v>525</v>
      </c>
      <c r="L6" s="28">
        <f>L5+200</f>
        <v>21400</v>
      </c>
      <c r="M6" s="21">
        <f>GetData("select cl_t from hkex.historical_px where date = '"&amp;$B$1&amp;"' and month = '"&amp;$B$2&amp;"' and type = 'P' and strike  = " &amp; $L6)</f>
        <v>576</v>
      </c>
      <c r="N6" s="22">
        <f>qlBlackFormulaImpliedStdDev("Put", $L6, $B$4, M6, 1, 0)/SQRT($B$5)</f>
        <v>0.32462667622774521</v>
      </c>
      <c r="O6" s="21" t="str">
        <f>qlBlackCalculator("Put"&amp;$L6&amp;$B$1, "Put", $L6, $B$4, N6 *SQRT($B$5), 1, FALSE)</f>
        <v>Put2140020150915#0031</v>
      </c>
      <c r="P6" s="23">
        <f>qlBlackCalculatorDelta(O6, $B$4)</f>
        <v>-0.5069944130871491</v>
      </c>
      <c r="Q6" s="24">
        <f>qlBlackCalculatorGamma(O6, $B$4)</f>
        <v>2.9409631786160855E-4</v>
      </c>
      <c r="R6" s="25">
        <f>qlBlackCalculatorVega(O6,$B$5)</f>
        <v>1666.5288264548178</v>
      </c>
      <c r="S6" s="26">
        <f>qlBlackCalculatorThetaPerDay(O6, $B$4, $B$5)</f>
        <v>-19.321418348919735</v>
      </c>
      <c r="V6" t="s">
        <v>55</v>
      </c>
      <c r="W6">
        <v>3</v>
      </c>
    </row>
    <row r="7" spans="1:23">
      <c r="A7" s="14" t="s">
        <v>28</v>
      </c>
      <c r="B7" s="16">
        <f>AVERAGE(Data!$Q$2:$Q$2000)</f>
        <v>0.24697364432057264</v>
      </c>
      <c r="D7" t="s">
        <v>66</v>
      </c>
      <c r="E7" s="27">
        <f>qlBlackCalculatorThetaPerDay(I7, $B$4, $B$5)</f>
        <v>-16.506013846181531</v>
      </c>
      <c r="F7" s="25">
        <f>qlBlackCalculatorVega(I7,$B$5)</f>
        <v>1488.3726242034006</v>
      </c>
      <c r="G7" s="24">
        <f>qlBlackCalculatorGamma(I7, $B$4)</f>
        <v>2.7458959240722917E-4</v>
      </c>
      <c r="H7" s="23">
        <f>qlBlackCalculatorDelta(I7, $B$4)</f>
        <v>0.31709310187365336</v>
      </c>
      <c r="I7" s="21" t="str">
        <f>qlBlackCalculator("Call"&amp;$L7&amp;$B$1, "Call", $L7, $B$4, J7 *SQRT($B$5), 1, FALSE)</f>
        <v>Call2200020150915#0010</v>
      </c>
      <c r="J7" s="22">
        <f>qlBlackFormulaImpliedStdDev("Call", $L7, $B$4, K7, 1, 0)/SQRT($B$5)</f>
        <v>0.31051927466110446</v>
      </c>
      <c r="K7" s="28">
        <f>GetData("select cl_t from hkex.historical_px where date = '"&amp;$B$1&amp;"' and month = '"&amp;$B$2&amp;"' and type = 'C' and strike  = " &amp; $L7)</f>
        <v>258</v>
      </c>
      <c r="L7" s="28">
        <f>ROUNDDOWN(($B$4+$B$6*2/3)/200, 0)*200</f>
        <v>22000</v>
      </c>
      <c r="M7" s="21"/>
      <c r="N7" s="22"/>
      <c r="O7" s="21"/>
      <c r="P7" s="23"/>
      <c r="Q7" s="24"/>
      <c r="R7" s="25"/>
      <c r="S7" s="26"/>
      <c r="V7" t="s">
        <v>56</v>
      </c>
      <c r="W7">
        <v>2</v>
      </c>
    </row>
    <row r="8" spans="1:23">
      <c r="A8" s="15" t="s">
        <v>29</v>
      </c>
      <c r="B8" s="12">
        <f>MIN(Data!$Q$2:$Q$2000)</f>
        <v>0.16434958514439887</v>
      </c>
      <c r="D8" t="s">
        <v>40</v>
      </c>
      <c r="E8" s="27">
        <f>qlBlackCalculatorThetaPerDay(I8, $B$4, $B$5)</f>
        <v>-13.003873952955159</v>
      </c>
      <c r="F8" s="25">
        <f>qlBlackCalculatorVega(I8,$B$5)</f>
        <v>1210.9550573072872</v>
      </c>
      <c r="G8" s="24">
        <f>qlBlackCalculatorGamma(I8, $B$4)</f>
        <v>2.3072052436588775E-4</v>
      </c>
      <c r="H8" s="23">
        <f>qlBlackCalculatorDelta(I8, $B$4)</f>
        <v>0.21204118666084071</v>
      </c>
      <c r="I8" s="21" t="str">
        <f>qlBlackCalculator("Call"&amp;$L8&amp;$B$1, "Call", $L8, $B$4, J8 *SQRT($B$5), 1, FALSE)</f>
        <v>Call2240020150915#0037</v>
      </c>
      <c r="J8" s="22">
        <f>qlBlackFormulaImpliedStdDev("Call", $L8, $B$4, K8, 1, 0)/SQRT($B$5)</f>
        <v>0.30067876465406129</v>
      </c>
      <c r="K8" s="28">
        <f>GetData("select cl_t from hkex.historical_px where date = '"&amp;$B$1&amp;"' and month = '"&amp;$B$2&amp;"' and type = 'C' and strike  = " &amp; $L8)</f>
        <v>147</v>
      </c>
      <c r="L8" s="28">
        <f>ROUNDDOWN(($B$4+$B$6)/200, 0)*200</f>
        <v>22400</v>
      </c>
      <c r="M8" s="21"/>
      <c r="N8" s="21"/>
      <c r="O8" s="21"/>
      <c r="P8" s="21"/>
      <c r="Q8" s="21"/>
      <c r="R8" s="21"/>
      <c r="S8" s="28"/>
      <c r="V8" t="s">
        <v>57</v>
      </c>
      <c r="W8">
        <v>10</v>
      </c>
    </row>
    <row r="9" spans="1:23">
      <c r="B9" s="6"/>
      <c r="D9" t="s">
        <v>41</v>
      </c>
      <c r="E9" s="29">
        <f>qlBlackCalculatorThetaPerDay(I9, $B$4, $B$5)</f>
        <v>-10.906073061741711</v>
      </c>
      <c r="F9" s="30">
        <f>qlBlackCalculatorVega(I9,$B$5)</f>
        <v>1038.3494573895991</v>
      </c>
      <c r="G9" s="41">
        <f>qlBlackCalculatorGamma(I9, $B$4)</f>
        <v>2.0226540504823245E-4</v>
      </c>
      <c r="H9" s="32">
        <f>qlBlackCalculatorDelta(I9, $B$4)</f>
        <v>0.1653022619078337</v>
      </c>
      <c r="I9" s="31" t="str">
        <f>qlBlackCalculator("Call"&amp;$L9&amp;$B$1, "Call", $L9, $B$4, J9 *SQRT($B$5), 1, FALSE)</f>
        <v>Call2260020150915#0033</v>
      </c>
      <c r="J9" s="33">
        <f>qlBlackFormulaImpliedStdDev("Call", $L9, $B$4, K9, 1, 0)/SQRT($B$5)</f>
        <v>0.29409178533830449</v>
      </c>
      <c r="K9" s="34">
        <f>GetData("select cl_t from hkex.historical_px where date = '"&amp;$B$1&amp;"' and month = '"&amp;$B$2&amp;"' and type = 'C' and strike  = " &amp; $L9)</f>
        <v>105</v>
      </c>
      <c r="L9" s="34">
        <f>L8+200</f>
        <v>22600</v>
      </c>
      <c r="M9" s="31"/>
      <c r="N9" s="31"/>
      <c r="O9" s="31"/>
      <c r="P9" s="31"/>
      <c r="Q9" s="31"/>
      <c r="R9" s="31"/>
      <c r="S9" s="34"/>
      <c r="V9" t="s">
        <v>58</v>
      </c>
      <c r="W9">
        <v>11</v>
      </c>
    </row>
    <row r="10" spans="1:23">
      <c r="V10" t="s">
        <v>59</v>
      </c>
      <c r="W10">
        <v>13</v>
      </c>
    </row>
    <row r="11" spans="1:23">
      <c r="V11" t="s">
        <v>60</v>
      </c>
      <c r="W11">
        <v>14</v>
      </c>
    </row>
    <row r="12" spans="1:23">
      <c r="V12" t="s">
        <v>61</v>
      </c>
      <c r="W12">
        <v>15</v>
      </c>
    </row>
    <row r="13" spans="1:23">
      <c r="V13" t="s">
        <v>62</v>
      </c>
      <c r="W13">
        <v>16</v>
      </c>
    </row>
    <row r="18" spans="9:9">
      <c r="I18" t="str">
        <f>ohRangeRetrieveError(I6)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F16"/>
  <sheetViews>
    <sheetView workbookViewId="0">
      <selection activeCell="A11" sqref="A11"/>
    </sheetView>
  </sheetViews>
  <sheetFormatPr defaultRowHeight="15"/>
  <cols>
    <col min="1" max="1" width="16.85546875" bestFit="1" customWidth="1"/>
    <col min="2" max="2" width="8.5703125" bestFit="1" customWidth="1"/>
  </cols>
  <sheetData>
    <row r="1" spans="1:6">
      <c r="B1" t="s">
        <v>36</v>
      </c>
      <c r="C1" t="s">
        <v>44</v>
      </c>
      <c r="D1" t="s">
        <v>65</v>
      </c>
      <c r="E1" t="s">
        <v>64</v>
      </c>
      <c r="F1" t="s">
        <v>70</v>
      </c>
    </row>
    <row r="3" spans="1:6">
      <c r="A3" t="s">
        <v>37</v>
      </c>
      <c r="B3">
        <f>VLOOKUP("CallOut1", OptionMatrix!$D$1:$S$9, VLOOKUP("CallPrice", OptionMatrix!$V$1:$W$13, 2, FALSE), FALSE)-VLOOKUP("CallOut2", OptionMatrix!$D$1:$S$9, VLOOKUP("CallPrice", OptionMatrix!$V$1:$W$13, 2, FALSE), FALSE)</f>
        <v>42</v>
      </c>
      <c r="C3">
        <f>VLOOKUP("PutOut1", OptionMatrix!$D$1:$S$9, VLOOKUP("PutPrice", OptionMatrix!$V$1:$W$13, 2, FALSE), FALSE)-VLOOKUP("PutOut2", OptionMatrix!$D$1:$S$9, VLOOKUP("PutPrice", OptionMatrix!$V$1:$W$13, 2, FALSE), FALSE)</f>
        <v>37</v>
      </c>
      <c r="D3">
        <f>VLOOKUP("PutOut2", OptionMatrix!$D$1:$S$9, VLOOKUP("PutPrice", OptionMatrix!$V$1:$W$13, 2, FALSE), FALSE)-VLOOKUP("PutOut1", OptionMatrix!$D$1:$S$9, VLOOKUP("PutPrice", OptionMatrix!$V$1:$W$13, 2, FALSE), FALSE)-VLOOKUP("CallOut1", OptionMatrix!$D$1:$S$9, VLOOKUP("CallPrice", OptionMatrix!$V$1:$W$13, 2, FALSE), FALSE)+VLOOKUP("CallOut2", OptionMatrix!$D$1:$S$9, VLOOKUP("CallPrice", OptionMatrix!$V$1:$W$13, 2, FALSE), FALSE)</f>
        <v>-79</v>
      </c>
      <c r="E3">
        <f>VLOOKUP("ATM1", OptionMatrix!$D$1:$S$9, VLOOKUP("CallPrice", OptionMatrix!$V$1:$W$13, 2, FALSE), FALSE)-VLOOKUP("ATM2", OptionMatrix!$D$1:$S$9, VLOOKUP("CallPrice", OptionMatrix!$V$1:$W$13, 2, FALSE), FALSE)</f>
        <v>120</v>
      </c>
      <c r="F3">
        <f>VLOOKUP("ATM2", OptionMatrix!$D$1:$S$9, VLOOKUP("PutPrice", OptionMatrix!$V$1:$W$13, 2, FALSE), FALSE)-VLOOKUP("ATM1", OptionMatrix!$D$1:$S$9, VLOOKUP("PutPrice", OptionMatrix!$V$1:$W$13, 2, FALSE), FALSE)</f>
        <v>87</v>
      </c>
    </row>
    <row r="4" spans="1:6">
      <c r="A4" t="s">
        <v>21</v>
      </c>
      <c r="B4" s="18">
        <f>VLOOKUP("CallOut1", OptionMatrix!$D$1:$S$9, VLOOKUP("CallDelta", OptionMatrix!$V$1:$W$13, 2, FALSE), FALSE)-VLOOKUP("CallOut2", OptionMatrix!$D$1:$S$9, VLOOKUP("CallDelta", OptionMatrix!$V$1:$W$13, 2, FALSE), FALSE)</f>
        <v>4.6738924753007005E-2</v>
      </c>
      <c r="C4" s="18">
        <f>VLOOKUP("PutOut1", OptionMatrix!$D$1:$S$9, VLOOKUP("PutDelta", OptionMatrix!$V$1:$W$13, 2, FALSE), FALSE)-VLOOKUP("PutOut2", OptionMatrix!$D$1:$S$9, VLOOKUP("PutDelta", OptionMatrix!$V$1:$W$13, 2, FALSE), FALSE)</f>
        <v>-3.4591452937756006E-2</v>
      </c>
      <c r="D4" s="18">
        <f>VLOOKUP("PutOut2", OptionMatrix!$D$1:$S$9, VLOOKUP("PutDelta", OptionMatrix!$V$1:$W$13, 2, FALSE), FALSE)-VLOOKUP("PutOut1", OptionMatrix!$D$1:$S$9, VLOOKUP("PutDelta", OptionMatrix!$V$1:$W$13, 2, FALSE), FALSE)-VLOOKUP("CallOut1", OptionMatrix!$D$1:$S$9, VLOOKUP("CallDelta", OptionMatrix!$V$1:$W$13, 2, FALSE), FALSE)+VLOOKUP("CallOut2", OptionMatrix!$D$1:$S$9, VLOOKUP("CallDelta", OptionMatrix!$V$1:$W$13, 2, FALSE), FALSE)</f>
        <v>-1.2147471815250999E-2</v>
      </c>
      <c r="E4" s="18">
        <f>VLOOKUP("ATM1", OptionMatrix!$D$1:$S$9, VLOOKUP("CallDelta", OptionMatrix!$V$1:$W$13, 2, FALSE), FALSE)-VLOOKUP("ATM2", OptionMatrix!$D$1:$S$9, VLOOKUP("CallDelta", OptionMatrix!$V$1:$W$13, 2, FALSE), FALSE)</f>
        <v>5.6206621009002866E-2</v>
      </c>
      <c r="F4" s="18">
        <f>VLOOKUP("ATM2", OptionMatrix!$D$1:$S$9, VLOOKUP("PutDelta", OptionMatrix!$V$1:$W$13, 2, FALSE), FALSE)-VLOOKUP("ATM1", OptionMatrix!$D$1:$S$9, VLOOKUP("PutDelta", OptionMatrix!$V$1:$W$13, 2, FALSE), FALSE)</f>
        <v>-5.8130745650686322E-2</v>
      </c>
    </row>
    <row r="5" spans="1:6">
      <c r="A5" t="s">
        <v>22</v>
      </c>
      <c r="B5" s="42">
        <f>VLOOKUP("CallOut1", OptionMatrix!$D$1:$S$9, VLOOKUP("CallGamma", OptionMatrix!$V$1:$W$13, 2, FALSE), FALSE)-VLOOKUP("CallOut2", OptionMatrix!$D$1:$S$9, VLOOKUP("CallGamma", OptionMatrix!$V$1:$W$13, 2, FALSE), FALSE)</f>
        <v>2.8455119317655295E-5</v>
      </c>
      <c r="C5" s="42">
        <f>VLOOKUP("PutOut1", OptionMatrix!$D$1:$S$9, VLOOKUP("PutGamma", OptionMatrix!$V$1:$W$13, 2, FALSE), FALSE)-VLOOKUP("PutOut2", OptionMatrix!$D$1:$S$9, VLOOKUP("PutGamma", OptionMatrix!$V$1:$W$13, 2, FALSE), FALSE)</f>
        <v>2.1352243320980641E-5</v>
      </c>
      <c r="D5" s="42">
        <f>VLOOKUP("PutOut2", OptionMatrix!$D$1:$S$9, VLOOKUP("PutGamma", OptionMatrix!$V$1:$W$13, 2, FALSE), FALSE)-VLOOKUP("PutOut1", OptionMatrix!$D$1:$S$9, VLOOKUP("PutGamma", OptionMatrix!$V$1:$W$13, 2, FALSE), FALSE)-VLOOKUP("CallOut1", OptionMatrix!$D$1:$S$9, VLOOKUP("CallGamma", OptionMatrix!$V$1:$W$13, 2, FALSE), FALSE)+VLOOKUP("CallOut2", OptionMatrix!$D$1:$S$9, VLOOKUP("CallGamma", OptionMatrix!$V$1:$W$13, 2, FALSE), FALSE)</f>
        <v>-4.9807362638635937E-5</v>
      </c>
      <c r="E5" s="42">
        <f>VLOOKUP("ATM1", OptionMatrix!$D$1:$S$9, VLOOKUP("CallGamma", OptionMatrix!$V$1:$W$13, 2, FALSE), FALSE)-VLOOKUP("ATM2", OptionMatrix!$D$1:$S$9, VLOOKUP("CallGamma", OptionMatrix!$V$1:$W$13, 2, FALSE), FALSE)</f>
        <v>-1.2468319997642875E-5</v>
      </c>
      <c r="F5" s="42">
        <f>VLOOKUP("ATM2", OptionMatrix!$D$1:$S$9, VLOOKUP("PutGamma", OptionMatrix!$V$1:$W$13, 2, FALSE), FALSE)-VLOOKUP("ATM1", OptionMatrix!$D$1:$S$9, VLOOKUP("PutGamma", OptionMatrix!$V$1:$W$13, 2, FALSE), FALSE)</f>
        <v>9.5777923168300716E-6</v>
      </c>
    </row>
    <row r="6" spans="1:6">
      <c r="A6" t="s">
        <v>23</v>
      </c>
      <c r="B6" s="8">
        <f>VLOOKUP("CallOut1", OptionMatrix!$D$1:$S$9, VLOOKUP("CallVega", OptionMatrix!$V$1:$W$13, 2, FALSE), FALSE)-VLOOKUP("CallOut2", OptionMatrix!$D$1:$S$9, VLOOKUP("CallVega", OptionMatrix!$V$1:$W$13, 2, FALSE), FALSE)</f>
        <v>172.6055999176881</v>
      </c>
      <c r="C6" s="8">
        <f>VLOOKUP("PutOut1", OptionMatrix!$D$1:$S$9, VLOOKUP("PutVega", OptionMatrix!$V$1:$W$13, 2, FALSE), FALSE)-VLOOKUP("PutOut2", OptionMatrix!$D$1:$S$9, VLOOKUP("PutVega", OptionMatrix!$V$1:$W$13, 2, FALSE), FALSE)</f>
        <v>100.48311805151729</v>
      </c>
      <c r="D6" s="8">
        <f>VLOOKUP("PutOut2", OptionMatrix!$D$1:$S$9, VLOOKUP("PutVega", OptionMatrix!$V$1:$W$13, 2, FALSE), FALSE)-VLOOKUP("PutOut1", OptionMatrix!$D$1:$S$9, VLOOKUP("PutVega", OptionMatrix!$V$1:$W$13, 2, FALSE), FALSE)-VLOOKUP("CallOut1", OptionMatrix!$D$1:$S$9, VLOOKUP("CallVega", OptionMatrix!$V$1:$W$13, 2, FALSE), FALSE)+VLOOKUP("CallOut2", OptionMatrix!$D$1:$S$9, VLOOKUP("CallVega", OptionMatrix!$V$1:$W$13, 2, FALSE), FALSE)</f>
        <v>-273.08871796920539</v>
      </c>
      <c r="E6" s="8">
        <f>VLOOKUP("ATM1", OptionMatrix!$D$1:$S$9, VLOOKUP("CallVega", OptionMatrix!$V$1:$W$13, 2, FALSE), FALSE)-VLOOKUP("ATM2", OptionMatrix!$D$1:$S$9, VLOOKUP("CallVega", OptionMatrix!$V$1:$W$13, 2, FALSE), FALSE)</f>
        <v>-12.99626451637846</v>
      </c>
      <c r="F6" s="8">
        <f>VLOOKUP("ATM2", OptionMatrix!$D$1:$S$9, VLOOKUP("PutVega", OptionMatrix!$V$1:$W$13, 2, FALSE), FALSE)-VLOOKUP("ATM1", OptionMatrix!$D$1:$S$9, VLOOKUP("PutVega", OptionMatrix!$V$1:$W$13, 2, FALSE), FALSE)</f>
        <v>13.455325978096425</v>
      </c>
    </row>
    <row r="7" spans="1:6">
      <c r="A7" t="s">
        <v>24</v>
      </c>
      <c r="B7" s="18">
        <f>VLOOKUP("CallOut1", OptionMatrix!$D$1:$S$9, VLOOKUP("CallTheta", OptionMatrix!$V$1:$W$13, 2, FALSE), FALSE)-VLOOKUP("CallOut2", OptionMatrix!$D$1:$S$9, VLOOKUP("CallTheta", OptionMatrix!$V$1:$W$13, 2, FALSE), FALSE)</f>
        <v>-2.0978008912134474</v>
      </c>
      <c r="C7" s="18">
        <f>VLOOKUP("PutOut1", OptionMatrix!$D$1:$S$9, VLOOKUP("PutTheta", OptionMatrix!$V$1:$W$13, 2, FALSE), FALSE)-VLOOKUP("PutOut2", OptionMatrix!$D$1:$S$9, VLOOKUP("PutTheta", OptionMatrix!$V$1:$W$13, 2, FALSE), FALSE)</f>
        <v>-0.79214016433508405</v>
      </c>
      <c r="D7" s="18">
        <f>VLOOKUP("PutOut2", OptionMatrix!$D$1:$S$9, VLOOKUP("PutTheta", OptionMatrix!$V$1:$W$13, 2, FALSE), FALSE)-VLOOKUP("PutOut1", OptionMatrix!$D$1:$S$9, VLOOKUP("PutTheta", OptionMatrix!$V$1:$W$13, 2, FALSE), FALSE)-VLOOKUP("CallOut1", OptionMatrix!$D$1:$S$9, VLOOKUP("CallTheta", OptionMatrix!$V$1:$W$13, 2, FALSE), FALSE)+VLOOKUP("CallOut2", OptionMatrix!$D$1:$S$9, VLOOKUP("CallTheta", OptionMatrix!$V$1:$W$13, 2, FALSE), FALSE)</f>
        <v>2.8899410555485314</v>
      </c>
      <c r="E7" s="18">
        <f>VLOOKUP("ATM1", OptionMatrix!$D$1:$S$9, VLOOKUP("CallTheta", OptionMatrix!$V$1:$W$13, 2, FALSE), FALSE)-VLOOKUP("ATM2", OptionMatrix!$D$1:$S$9, VLOOKUP("CallTheta", OptionMatrix!$V$1:$W$13, 2, FALSE), FALSE)</f>
        <v>-0.5847748352764448</v>
      </c>
      <c r="F7" s="18">
        <f>VLOOKUP("ATM2", OptionMatrix!$D$1:$S$9, VLOOKUP("PutTheta", OptionMatrix!$V$1:$W$13, 2, FALSE), FALSE)-VLOOKUP("ATM1", OptionMatrix!$D$1:$S$9, VLOOKUP("PutTheta", OptionMatrix!$V$1:$W$13, 2, FALSE), FALSE)</f>
        <v>0.32922209829354898</v>
      </c>
    </row>
    <row r="9" spans="1:6">
      <c r="A9" t="s">
        <v>45</v>
      </c>
      <c r="B9" s="18">
        <f>B7*OptionMatrix!$B$5*365/2</f>
        <v>-14.684606238494132</v>
      </c>
      <c r="C9" s="18">
        <f>C7*OptionMatrix!$B$5*365/2</f>
        <v>-5.5449811503455884</v>
      </c>
      <c r="D9" s="18">
        <f>D7*OptionMatrix!$B$5*365/2</f>
        <v>20.229587388839722</v>
      </c>
      <c r="E9" s="18">
        <f>E7*OptionMatrix!$B$5*365/2</f>
        <v>-4.0934238469351136</v>
      </c>
      <c r="F9" s="18">
        <f>F7*OptionMatrix!$B$5*365/2</f>
        <v>2.3045546880548433</v>
      </c>
    </row>
    <row r="10" spans="1:6">
      <c r="A10" t="s">
        <v>46</v>
      </c>
      <c r="B10" s="18">
        <f>OptionMatrix!$B$6*ABS(B4)+OptionMatrix!$B$6*OptionMatrix!$B$6*B5+B9</f>
        <v>73.682696813414054</v>
      </c>
      <c r="C10" s="18">
        <f>OptionMatrix!$B$6*ABS(C4)+OptionMatrix!$B$6*OptionMatrix!$B$6*C5+C9</f>
        <v>60.224613657960916</v>
      </c>
      <c r="D10" s="18">
        <f>OptionMatrix!$B$6*ABS(D4)+OptionMatrix!$B$6*OptionMatrix!$B$6*D5+D9</f>
        <v>-28.93682675784407</v>
      </c>
      <c r="E10" s="18">
        <f>OptionMatrix!$B$6*ABS(E4)+OptionMatrix!$B$6*OptionMatrix!$B$6*E5+E9</f>
        <v>43.30090042556489</v>
      </c>
      <c r="F10" s="18">
        <f>OptionMatrix!$B$6*ABS(F4)+OptionMatrix!$B$6*OptionMatrix!$B$6*F5+F9</f>
        <v>79.659833393784311</v>
      </c>
    </row>
    <row r="11" spans="1:6">
      <c r="A11" t="s">
        <v>47</v>
      </c>
      <c r="B11" s="18">
        <f>0.5*OptionMatrix!$B$6*ABS(B4)+0.25*OptionMatrix!$B$6*OptionMatrix!$B$6*B5+B9</f>
        <v>20.528529988674272</v>
      </c>
      <c r="C11" s="18">
        <f>0.5*OptionMatrix!$B$6*ABS(C4)+0.25*OptionMatrix!$B$6*OptionMatrix!$B$6*C5+C9</f>
        <v>20.60849233152814</v>
      </c>
      <c r="D11" s="18">
        <f>0.5*OptionMatrix!$B$6*ABS(D4)+0.25*OptionMatrix!$B$6*OptionMatrix!$B$6*D5+D9</f>
        <v>11.348219536563033</v>
      </c>
      <c r="E11" s="18">
        <f>0.5*OptionMatrix!$B$6*ABS(E4)+0.25*OptionMatrix!$B$6*OptionMatrix!$B$6*E5+E9</f>
        <v>23.534393228428566</v>
      </c>
      <c r="F11" s="18">
        <f>0.5*OptionMatrix!$B$6*ABS(F4)+0.25*OptionMatrix!$B$6*OptionMatrix!$B$6*F5+F9</f>
        <v>37.962781908164693</v>
      </c>
    </row>
    <row r="12" spans="1:6">
      <c r="A12" t="s">
        <v>48</v>
      </c>
      <c r="B12" s="18">
        <f>0.5*OptionMatrix!$B$6*ABS(B4)+0.25*OptionMatrix!$B$6*OptionMatrix!$B$6*B5+B9-B6*0.05</f>
        <v>11.898249992789866</v>
      </c>
      <c r="C12" s="18">
        <f>0.5*OptionMatrix!$B$6*ABS(C4)+0.25*OptionMatrix!$B$6*OptionMatrix!$B$6*C5+C9-C6*0.05</f>
        <v>15.584336428952275</v>
      </c>
      <c r="D12" s="18">
        <f>0.5*OptionMatrix!$B$6*ABS(D4)+0.25*OptionMatrix!$B$6*OptionMatrix!$B$6*D5+D9-D6*0.05</f>
        <v>25.002655435023303</v>
      </c>
      <c r="E12" s="18">
        <f>0.5*OptionMatrix!$B$6*ABS(E4)+0.25*OptionMatrix!$B$6*OptionMatrix!$B$6*E5+E9-E6*0.05</f>
        <v>24.184206454247491</v>
      </c>
      <c r="F12" s="18">
        <f>0.5*OptionMatrix!$B$6*ABS(F4)+0.25*OptionMatrix!$B$6*OptionMatrix!$B$6*F5+F9-F6*0.05</f>
        <v>37.290015609259875</v>
      </c>
    </row>
    <row r="13" spans="1:6">
      <c r="A13" t="s">
        <v>63</v>
      </c>
      <c r="B13" s="18">
        <f>0.5*OptionMatrix!$B$6*ABS(B4)+0.25*OptionMatrix!$B$6*OptionMatrix!$B$6*B5+B9+B6*0.05</f>
        <v>29.15880998455868</v>
      </c>
      <c r="C13" s="18">
        <f>0.5*OptionMatrix!$B$6*ABS(C4)+0.25*OptionMatrix!$B$6*OptionMatrix!$B$6*C5+C9+C6*0.05</f>
        <v>25.632648234104003</v>
      </c>
      <c r="D13" s="18">
        <f>0.5*OptionMatrix!$B$6*ABS(D4)+0.25*OptionMatrix!$B$6*OptionMatrix!$B$6*D5+D9+D6*0.05</f>
        <v>-2.3062163618972384</v>
      </c>
      <c r="E13" s="18">
        <f>0.5*OptionMatrix!$B$6*ABS(E4)+0.25*OptionMatrix!$B$6*OptionMatrix!$B$6*E5+E9+E6*0.05</f>
        <v>22.884580002609642</v>
      </c>
      <c r="F13" s="18">
        <f>0.5*OptionMatrix!$B$6*ABS(F4)+0.25*OptionMatrix!$B$6*OptionMatrix!$B$6*F5+F9+F6*0.05</f>
        <v>38.635548207069512</v>
      </c>
    </row>
    <row r="15" spans="1:6">
      <c r="A15" t="s">
        <v>68</v>
      </c>
      <c r="B15" s="18">
        <f>-0.5*OptionMatrix!$B$6*ABS(B4)-0.25*OptionMatrix!$B$6*OptionMatrix!$B$6*B5+B9</f>
        <v>-49.897742465662539</v>
      </c>
      <c r="C15" s="18">
        <f>-0.5*OptionMatrix!$B$6*ABS(C4)-0.25*OptionMatrix!$B$6*OptionMatrix!$B$6*C5+C9</f>
        <v>-31.698454632219317</v>
      </c>
      <c r="E15" s="18">
        <f>-0.5*OptionMatrix!$B$6*ABS(E4)-0.25*OptionMatrix!$B$6*OptionMatrix!$B$6*E5+E9</f>
        <v>-31.721240922298794</v>
      </c>
      <c r="F15" s="18">
        <f>-0.5*OptionMatrix!$B$6*ABS(F4)-0.25*OptionMatrix!$B$6*OptionMatrix!$B$6*F5+F9</f>
        <v>-33.353672532055008</v>
      </c>
    </row>
    <row r="16" spans="1:6">
      <c r="A16" t="s">
        <v>69</v>
      </c>
      <c r="B16" s="18">
        <f>-0.5*OptionMatrix!$B$6*ABS(B4)-0.25*OptionMatrix!$B$6*OptionMatrix!$B$6*B5+B9+B6*0.05</f>
        <v>-41.267462469778131</v>
      </c>
      <c r="C16" s="18">
        <f>-0.5*OptionMatrix!$B$6*ABS(C4)-0.25*OptionMatrix!$B$6*OptionMatrix!$B$6*C5+C9+C6*0.05</f>
        <v>-26.674298729643453</v>
      </c>
      <c r="E16" s="18">
        <f>-0.5*OptionMatrix!$B$6*ABS(E4)-0.25*OptionMatrix!$B$6*OptionMatrix!$B$6*E5+E9+E6*0.05</f>
        <v>-32.371054148117715</v>
      </c>
      <c r="F16" s="18">
        <f>-0.5*OptionMatrix!$B$6*ABS(F4)-0.25*OptionMatrix!$B$6*OptionMatrix!$B$6*F5+F9+F6*0.05</f>
        <v>-32.680906233150189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C5"/>
  <sheetViews>
    <sheetView workbookViewId="0">
      <selection activeCell="I15" sqref="I15"/>
    </sheetView>
  </sheetViews>
  <sheetFormatPr defaultRowHeight="15"/>
  <cols>
    <col min="1" max="1" width="9.140625" style="3"/>
    <col min="2" max="2" width="11.5703125" bestFit="1" customWidth="1"/>
    <col min="3" max="3" width="9.7109375" bestFit="1" customWidth="1"/>
  </cols>
  <sheetData>
    <row r="1" spans="1:3">
      <c r="A1" s="3" t="s">
        <v>15</v>
      </c>
      <c r="B1" t="s">
        <v>19</v>
      </c>
    </row>
    <row r="2" spans="1:3">
      <c r="A2" s="3" t="s">
        <v>1</v>
      </c>
      <c r="B2" s="4">
        <v>42276</v>
      </c>
      <c r="C2" s="4"/>
    </row>
    <row r="3" spans="1:3">
      <c r="A3" s="3" t="s">
        <v>16</v>
      </c>
      <c r="B3" s="4">
        <v>42306</v>
      </c>
    </row>
    <row r="4" spans="1:3">
      <c r="A4" s="3" t="s">
        <v>17</v>
      </c>
      <c r="B4" s="4">
        <v>42335</v>
      </c>
    </row>
    <row r="5" spans="1:3">
      <c r="A5" s="3" t="s">
        <v>18</v>
      </c>
      <c r="B5" s="4">
        <v>42367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OptionMatrix</vt:lpstr>
      <vt:lpstr>Simulation</vt:lpstr>
      <vt:lpstr>Expiration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Iver Chan</dc:creator>
  <cp:lastModifiedBy>Iver Chan</cp:lastModifiedBy>
  <dcterms:created xsi:type="dcterms:W3CDTF">2015-09-07T08:00:08Z</dcterms:created>
  <dcterms:modified xsi:type="dcterms:W3CDTF">2015-09-15T15:55:47Z</dcterms:modified>
</cp:coreProperties>
</file>